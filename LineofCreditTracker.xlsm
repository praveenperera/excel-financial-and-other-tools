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018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Praveen/Documents/Excel Projects/excel-financial-tools/"/>
    </mc:Choice>
  </mc:AlternateContent>
  <bookViews>
    <workbookView xWindow="3200" yWindow="460" windowWidth="25600" windowHeight="16740" activeTab="1"/>
  </bookViews>
  <sheets>
    <sheet name="Monthly" sheetId="1" r:id="rId1"/>
    <sheet name="BiWeekly" sheetId="2" r:id="rId2"/>
  </sheet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F11" i="2"/>
  <c r="C3" i="1"/>
  <c r="C4" i="1"/>
  <c r="F8" i="1"/>
  <c r="I3" i="1"/>
  <c r="J7" i="1"/>
  <c r="I7" i="1"/>
  <c r="F7" i="1"/>
  <c r="F9" i="1"/>
  <c r="G3" i="2"/>
  <c r="H7" i="2"/>
  <c r="G7" i="2"/>
  <c r="F10" i="2"/>
  <c r="F12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E2" i="2"/>
  <c r="E2" i="1"/>
</calcChain>
</file>

<file path=xl/sharedStrings.xml><?xml version="1.0" encoding="utf-8"?>
<sst xmlns="http://schemas.openxmlformats.org/spreadsheetml/2006/main" count="43" uniqueCount="19">
  <si>
    <t>Date</t>
  </si>
  <si>
    <t>Payment</t>
  </si>
  <si>
    <t>Amount Left</t>
  </si>
  <si>
    <t>Start</t>
  </si>
  <si>
    <t>Last Payment</t>
  </si>
  <si>
    <t>APR to EFF</t>
  </si>
  <si>
    <t>EAR</t>
  </si>
  <si>
    <t>APR</t>
  </si>
  <si>
    <t># of Periods</t>
  </si>
  <si>
    <t>EFF to APR</t>
  </si>
  <si>
    <t>Interest Rate</t>
  </si>
  <si>
    <t>Total Payments</t>
  </si>
  <si>
    <t>Debt Reduction</t>
  </si>
  <si>
    <t>Total Interest Paid</t>
  </si>
  <si>
    <t>Months</t>
  </si>
  <si>
    <t>Interest Rates</t>
  </si>
  <si>
    <t>Start - Feb 2015</t>
  </si>
  <si>
    <t>Feb 2015 - May 2015</t>
  </si>
  <si>
    <t>May 2015 - Current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</si>
</sst>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[$-409]mmm\-yy;@"/>
    <numFmt numFmtId="167" formatCode="0.00000%"/>
  </numFmts>
  <fonts count="6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0C0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27">
    <xf numFmtId="0" fontId="0" fillId="0" borderId="0" xfId="0"/>
    <xf numFmtId="17" fontId="0" fillId="0" borderId="0" xfId="0" applyNumberFormat="1"/>
    <xf numFmtId="164" fontId="0" fillId="0" borderId="0" xfId="2" applyFont="1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164" fontId="0" fillId="0" borderId="0" xfId="0" applyNumberFormat="1"/>
    <xf numFmtId="164" fontId="2" fillId="0" borderId="1" xfId="2" applyFont="1" applyBorder="1" applyAlignment="1">
      <alignment horizontal="center"/>
    </xf>
    <xf numFmtId="165" fontId="0" fillId="0" borderId="0" xfId="1" applyFont="1"/>
    <xf numFmtId="166" fontId="2" fillId="0" borderId="1" xfId="0" applyNumberFormat="1" applyFont="1" applyBorder="1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2" xfId="0" applyFont="1" applyBorder="1" applyAlignment="1">
      <alignment horizontal="center"/>
    </xf>
    <xf numFmtId="166" fontId="0" fillId="0" borderId="0" xfId="1" applyNumberFormat="1" applyFont="1"/>
    <xf numFmtId="167" fontId="2" fillId="2" borderId="2" xfId="3" applyNumberFormat="1" applyFont="1" applyFill="1" applyBorder="1"/>
    <xf numFmtId="167" fontId="0" fillId="0" borderId="2" xfId="3" applyNumberFormat="1" applyFont="1" applyBorder="1"/>
    <xf numFmtId="0" fontId="0" fillId="0" borderId="2" xfId="0" applyBorder="1" applyAlignment="1">
      <alignment horizontal="center"/>
    </xf>
    <xf numFmtId="166" fontId="0" fillId="0" borderId="0" xfId="0" applyNumberFormat="1"/>
    <xf numFmtId="10" fontId="0" fillId="0" borderId="0" xfId="3" applyNumberFormat="1" applyFont="1"/>
    <xf numFmtId="44" fontId="0" fillId="0" borderId="0" xfId="0" applyNumberFormat="1"/>
    <xf numFmtId="0" fontId="2" fillId="0" borderId="0" xfId="0" applyFont="1"/>
    <xf numFmtId="167" fontId="0" fillId="0" borderId="0" xfId="0" applyNumberFormat="1"/>
    <xf numFmtId="49" fontId="0" fillId="0" borderId="0" xfId="2" applyNumberFormat="1" applyFont="1"/>
    <xf numFmtId="0" fontId="3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5" xfId="0" applyFont="1" applyBorder="1" applyAlignment="1">
      <alignment horizontal="center"/>
    </xf>
    <xf numFmtId="167" fontId="2" fillId="3" borderId="4" xfId="0" applyNumberFormat="1" applyFont="1" applyFill="1" applyBorder="1"/>
    <xf numFmtId="167" fontId="0" fillId="0" borderId="5" xfId="0" applyNumberFormat="1" applyBorder="1"/>
  </cellXfs>
  <cellStyles count="6">
    <cellStyle name="Comma" xfId="1" builtinId="3"/>
    <cellStyle name="Currency" xfId="2" builtinId="4"/>
    <cellStyle name="Followed Hyperlink" xfId="5" builtinId="9" hidden="1"/>
    <cellStyle name="Hyperlink" xfId="4" builtinId="8" hidden="1"/>
    <cellStyle name="Normal" xfId="0" builtinId="0"/>
    <cellStyle name="Percent" xfId="3" builtinId="5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176"/>
  <sheetViews>
    <sheetView zoomScale="150" zoomScaleNormal="150" zoomScalePageLayoutView="150" workbookViewId="0">
      <selection activeCell="F9" sqref="F9"/>
    </sheetView>
  </sheetViews>
  <sheetFormatPr baseColWidth="10" defaultColWidth="9.1640625" defaultRowHeight="13" x14ac:dyDescent="0.15"/>
  <cols>
    <col min="1" max="1" width="11.83203125" customWidth="1"/>
    <col min="2" max="2" width="14" style="2" customWidth="1"/>
    <col min="3" max="3" width="25.1640625" style="2" customWidth="1"/>
    <col min="4" max="4" width="5.5" customWidth="1"/>
    <col min="5" max="5" width="14.6640625" customWidth="1"/>
    <col min="6" max="6" width="16.1640625" customWidth="1"/>
    <col min="7" max="7" width="15.1640625" customWidth="1"/>
    <col min="11" max="11" width="10.6640625" bestFit="1" customWidth="1"/>
  </cols>
  <sheetData>
    <row r="1" spans="1:11" ht="14" thickBot="1" x14ac:dyDescent="0.2">
      <c r="A1" s="4" t="s">
        <v>0</v>
      </c>
      <c r="B1" s="6" t="s">
        <v>1</v>
      </c>
      <c r="C1" s="6" t="s">
        <v>2</v>
      </c>
      <c r="E1" s="6" t="s">
        <v>4</v>
      </c>
      <c r="G1" s="6" t="s">
        <v>10</v>
      </c>
      <c r="I1" s="21" t="s">
        <v>5</v>
      </c>
      <c r="J1" s="21"/>
      <c r="K1" s="21"/>
    </row>
    <row r="2" spans="1:11" x14ac:dyDescent="0.15">
      <c r="A2" s="3" t="s">
        <v>3</v>
      </c>
      <c r="B2" s="2">
        <v>0</v>
      </c>
      <c r="C2" s="2">
        <v>43000</v>
      </c>
      <c r="E2" s="2">
        <f ca="1">LASTINCOLUMN(B:B)</f>
        <v>950</v>
      </c>
      <c r="G2" s="16">
        <v>3.5000000000000003E-2</v>
      </c>
      <c r="I2" s="22" t="s">
        <v>6</v>
      </c>
      <c r="J2" s="24" t="s">
        <v>7</v>
      </c>
      <c r="K2" s="24" t="s">
        <v>8</v>
      </c>
    </row>
    <row r="3" spans="1:11" x14ac:dyDescent="0.15">
      <c r="A3" s="1">
        <v>41791</v>
      </c>
      <c r="B3" s="2">
        <v>950</v>
      </c>
      <c r="C3" s="2">
        <f ca="1">AMTLEFT(C2,B3,B:B,$G$2,12)</f>
        <v>42175.416700000002</v>
      </c>
      <c r="I3" s="25">
        <f>((1+(J3/K3)))^K3-1</f>
        <v>3.5306250000000095E-2</v>
      </c>
      <c r="J3" s="26">
        <v>3.5000000000000003E-2</v>
      </c>
      <c r="K3" s="23">
        <v>2</v>
      </c>
    </row>
    <row r="4" spans="1:11" x14ac:dyDescent="0.15">
      <c r="A4" s="1">
        <v>41821</v>
      </c>
      <c r="B4" s="2">
        <v>950</v>
      </c>
      <c r="C4" s="2">
        <f t="shared" ref="C4:C67" ca="1" si="0">AMTLEFT(C3,B4,B:B,$G$2,12)</f>
        <v>41348.4283</v>
      </c>
    </row>
    <row r="5" spans="1:11" x14ac:dyDescent="0.15">
      <c r="A5" s="1">
        <v>41852</v>
      </c>
      <c r="C5" s="2">
        <f t="shared" ca="1" si="0"/>
        <v>40519.027882541668</v>
      </c>
      <c r="D5" s="5"/>
      <c r="I5" s="21" t="s">
        <v>9</v>
      </c>
      <c r="J5" s="21"/>
      <c r="K5" s="21"/>
    </row>
    <row r="6" spans="1:11" x14ac:dyDescent="0.15">
      <c r="A6" s="1">
        <v>41883</v>
      </c>
      <c r="C6" s="2">
        <f t="shared" ca="1" si="0"/>
        <v>39687.208398041665</v>
      </c>
      <c r="D6" s="5"/>
      <c r="I6" s="22" t="s">
        <v>7</v>
      </c>
      <c r="J6" s="24" t="s">
        <v>6</v>
      </c>
      <c r="K6" s="24" t="s">
        <v>8</v>
      </c>
    </row>
    <row r="7" spans="1:11" x14ac:dyDescent="0.15">
      <c r="A7" s="1">
        <v>41913</v>
      </c>
      <c r="C7" s="2">
        <f t="shared" ca="1" si="0"/>
        <v>38852.962757833338</v>
      </c>
      <c r="D7" s="5"/>
      <c r="E7" t="s">
        <v>11</v>
      </c>
      <c r="F7" s="5">
        <f>SUM(B:B)</f>
        <v>1900</v>
      </c>
      <c r="I7" s="25">
        <f>((J7+1)^(1/K7)-1)*K7</f>
        <v>3.4747487593527637E-2</v>
      </c>
      <c r="J7" s="26">
        <f>I3</f>
        <v>3.5306250000000095E-2</v>
      </c>
      <c r="K7" s="23">
        <v>12</v>
      </c>
    </row>
    <row r="8" spans="1:11" x14ac:dyDescent="0.15">
      <c r="A8" s="1">
        <v>41944</v>
      </c>
      <c r="C8" s="2">
        <f t="shared" ca="1" si="0"/>
        <v>38016.283941499998</v>
      </c>
      <c r="D8" s="5"/>
      <c r="E8" t="s">
        <v>12</v>
      </c>
      <c r="F8" s="17">
        <f ca="1">C2-TOTALDEBTPAID(B:B)</f>
        <v>5889.3366999999998</v>
      </c>
    </row>
    <row r="9" spans="1:11" x14ac:dyDescent="0.15">
      <c r="A9" s="1">
        <v>41974</v>
      </c>
      <c r="C9" s="2">
        <f t="shared" ca="1" si="0"/>
        <v>37177.164728041673</v>
      </c>
      <c r="D9" s="5"/>
      <c r="E9" t="s">
        <v>13</v>
      </c>
      <c r="F9" s="17">
        <f ca="1">F7-F8</f>
        <v>-3989.3366999999998</v>
      </c>
    </row>
    <row r="10" spans="1:11" x14ac:dyDescent="0.15">
      <c r="A10" s="1">
        <v>42005</v>
      </c>
      <c r="C10" s="2">
        <f t="shared" ca="1" si="0"/>
        <v>36335.598097041671</v>
      </c>
      <c r="D10" s="5"/>
    </row>
    <row r="11" spans="1:11" x14ac:dyDescent="0.15">
      <c r="A11" s="1">
        <v>42036</v>
      </c>
      <c r="C11" s="2">
        <f t="shared" ca="1" si="0"/>
        <v>35491.57692779167</v>
      </c>
      <c r="D11" s="5"/>
      <c r="E11" s="18" t="s">
        <v>14</v>
      </c>
      <c r="F11" s="18" t="s">
        <v>15</v>
      </c>
    </row>
    <row r="12" spans="1:11" x14ac:dyDescent="0.15">
      <c r="A12" s="1">
        <v>42064</v>
      </c>
      <c r="C12" s="2">
        <f t="shared" ca="1" si="0"/>
        <v>34645.093999291668</v>
      </c>
      <c r="D12" s="5"/>
      <c r="E12" t="s">
        <v>16</v>
      </c>
      <c r="F12" s="19">
        <v>3.49726E-2</v>
      </c>
    </row>
    <row r="13" spans="1:11" x14ac:dyDescent="0.15">
      <c r="A13" s="1">
        <v>42095</v>
      </c>
      <c r="C13" s="2">
        <f t="shared" ca="1" si="0"/>
        <v>33796.142190833329</v>
      </c>
      <c r="D13" s="5"/>
      <c r="E13" t="s">
        <v>17</v>
      </c>
      <c r="F13" s="19">
        <v>3.3474900000000002E-2</v>
      </c>
    </row>
    <row r="14" spans="1:11" x14ac:dyDescent="0.15">
      <c r="A14" s="1">
        <v>42125</v>
      </c>
      <c r="C14" s="2">
        <f t="shared" ca="1" si="0"/>
        <v>32944.714281416673</v>
      </c>
      <c r="D14" s="5"/>
      <c r="E14" s="20" t="s">
        <v>18</v>
      </c>
      <c r="F14" s="19">
        <v>2.1489600000000001E-2</v>
      </c>
    </row>
    <row r="15" spans="1:11" x14ac:dyDescent="0.15">
      <c r="A15" s="1">
        <v>42156</v>
      </c>
      <c r="C15" s="2">
        <f t="shared" ca="1" si="0"/>
        <v>32090.803050041664</v>
      </c>
      <c r="D15" s="5"/>
    </row>
    <row r="16" spans="1:11" x14ac:dyDescent="0.15">
      <c r="A16" s="1">
        <v>42186</v>
      </c>
      <c r="C16" s="2">
        <f t="shared" ca="1" si="0"/>
        <v>31234.401275708336</v>
      </c>
      <c r="D16" s="5"/>
    </row>
    <row r="17" spans="1:4" x14ac:dyDescent="0.15">
      <c r="A17" s="1">
        <v>42217</v>
      </c>
      <c r="C17" s="2">
        <f t="shared" ca="1" si="0"/>
        <v>30375.501637125002</v>
      </c>
      <c r="D17" s="5"/>
    </row>
    <row r="18" spans="1:4" x14ac:dyDescent="0.15">
      <c r="A18" s="1">
        <v>42248</v>
      </c>
      <c r="C18" s="2">
        <f t="shared" ca="1" si="0"/>
        <v>29514.096813</v>
      </c>
      <c r="D18" s="5"/>
    </row>
    <row r="19" spans="1:4" x14ac:dyDescent="0.15">
      <c r="A19" s="1">
        <v>42278</v>
      </c>
      <c r="C19" s="2">
        <f t="shared" ca="1" si="0"/>
        <v>28650.179582333334</v>
      </c>
      <c r="D19" s="5"/>
    </row>
    <row r="20" spans="1:4" x14ac:dyDescent="0.15">
      <c r="A20" s="1">
        <v>42309</v>
      </c>
      <c r="C20" s="2">
        <f t="shared" ca="1" si="0"/>
        <v>27783.742623833332</v>
      </c>
      <c r="D20" s="5"/>
    </row>
    <row r="21" spans="1:4" x14ac:dyDescent="0.15">
      <c r="A21" s="1">
        <v>42339</v>
      </c>
      <c r="B21" s="7"/>
      <c r="C21" s="2">
        <f t="shared" ca="1" si="0"/>
        <v>26914.778515916667</v>
      </c>
      <c r="D21" s="5"/>
    </row>
    <row r="22" spans="1:4" x14ac:dyDescent="0.15">
      <c r="A22" s="1">
        <v>42370</v>
      </c>
      <c r="C22" s="2">
        <f t="shared" ca="1" si="0"/>
        <v>26043.279937291667</v>
      </c>
      <c r="D22" s="5"/>
    </row>
    <row r="23" spans="1:4" x14ac:dyDescent="0.15">
      <c r="A23" s="1">
        <v>42401</v>
      </c>
      <c r="C23" s="2">
        <f t="shared" ca="1" si="0"/>
        <v>25169.239466375002</v>
      </c>
      <c r="D23" s="5"/>
    </row>
    <row r="24" spans="1:4" x14ac:dyDescent="0.15">
      <c r="A24" s="1">
        <v>42430</v>
      </c>
      <c r="C24" s="2">
        <f t="shared" ca="1" si="0"/>
        <v>24292.649781874999</v>
      </c>
      <c r="D24" s="5"/>
    </row>
    <row r="25" spans="1:4" x14ac:dyDescent="0.15">
      <c r="A25" s="1">
        <v>42461</v>
      </c>
      <c r="C25" s="2">
        <f t="shared" ca="1" si="0"/>
        <v>23413.503361916668</v>
      </c>
      <c r="D25" s="5"/>
    </row>
    <row r="26" spans="1:4" x14ac:dyDescent="0.15">
      <c r="A26" s="1">
        <v>42491</v>
      </c>
      <c r="C26" s="2">
        <f t="shared" ca="1" si="0"/>
        <v>22531.79278491667</v>
      </c>
      <c r="D26" s="5"/>
    </row>
    <row r="27" spans="1:4" x14ac:dyDescent="0.15">
      <c r="A27" s="1">
        <v>42522</v>
      </c>
      <c r="C27" s="2">
        <f t="shared" ca="1" si="0"/>
        <v>21647.510528999999</v>
      </c>
      <c r="D27" s="5"/>
    </row>
    <row r="28" spans="1:4" x14ac:dyDescent="0.15">
      <c r="A28" s="1">
        <v>42552</v>
      </c>
      <c r="C28" s="2">
        <f t="shared" ca="1" si="0"/>
        <v>20760.649072291668</v>
      </c>
      <c r="D28" s="5"/>
    </row>
    <row r="29" spans="1:4" x14ac:dyDescent="0.15">
      <c r="A29" s="1">
        <v>42583</v>
      </c>
      <c r="C29" s="2">
        <f t="shared" ca="1" si="0"/>
        <v>19871.200993208331</v>
      </c>
      <c r="D29" s="5"/>
    </row>
    <row r="30" spans="1:4" x14ac:dyDescent="0.15">
      <c r="A30" s="1">
        <v>42614</v>
      </c>
      <c r="C30" s="2">
        <f t="shared" ca="1" si="0"/>
        <v>18979.158669583336</v>
      </c>
      <c r="D30" s="5"/>
    </row>
    <row r="31" spans="1:4" x14ac:dyDescent="0.15">
      <c r="A31" s="1">
        <v>42644</v>
      </c>
      <c r="C31" s="2">
        <f t="shared" ca="1" si="0"/>
        <v>18084.514579541668</v>
      </c>
      <c r="D31" s="5"/>
    </row>
    <row r="32" spans="1:4" x14ac:dyDescent="0.15">
      <c r="A32" s="1">
        <v>42675</v>
      </c>
      <c r="C32" s="2">
        <f t="shared" ca="1" si="0"/>
        <v>17187.261100916665</v>
      </c>
      <c r="D32" s="5"/>
    </row>
    <row r="33" spans="1:4" x14ac:dyDescent="0.15">
      <c r="A33" s="1">
        <v>42705</v>
      </c>
      <c r="C33" s="2">
        <f t="shared" ca="1" si="0"/>
        <v>16287.390611541665</v>
      </c>
      <c r="D33" s="5"/>
    </row>
    <row r="34" spans="1:4" x14ac:dyDescent="0.15">
      <c r="A34" s="1">
        <v>42736</v>
      </c>
      <c r="C34" s="2">
        <f t="shared" ca="1" si="0"/>
        <v>15384.895489250001</v>
      </c>
      <c r="D34" s="5"/>
    </row>
    <row r="35" spans="1:4" x14ac:dyDescent="0.15">
      <c r="A35" s="1">
        <v>42767</v>
      </c>
      <c r="C35" s="2">
        <f t="shared" ca="1" si="0"/>
        <v>14479.768111875001</v>
      </c>
      <c r="D35" s="5"/>
    </row>
    <row r="36" spans="1:4" x14ac:dyDescent="0.15">
      <c r="A36" s="1">
        <v>42795</v>
      </c>
      <c r="C36" s="2">
        <f t="shared" ca="1" si="0"/>
        <v>13572.000756958332</v>
      </c>
      <c r="D36" s="5"/>
    </row>
    <row r="37" spans="1:4" x14ac:dyDescent="0.15">
      <c r="A37" s="1">
        <v>42826</v>
      </c>
      <c r="C37" s="2">
        <f t="shared" ca="1" si="0"/>
        <v>12661.585802333333</v>
      </c>
      <c r="D37" s="5"/>
    </row>
    <row r="38" spans="1:4" x14ac:dyDescent="0.15">
      <c r="A38" s="1">
        <v>42856</v>
      </c>
      <c r="C38" s="2">
        <f t="shared" ca="1" si="0"/>
        <v>11748.515425250001</v>
      </c>
      <c r="D38" s="5"/>
    </row>
    <row r="39" spans="1:4" x14ac:dyDescent="0.15">
      <c r="A39" s="1">
        <v>42887</v>
      </c>
      <c r="C39" s="2">
        <f t="shared" ca="1" si="0"/>
        <v>10832.781903250001</v>
      </c>
      <c r="D39" s="5"/>
    </row>
    <row r="40" spans="1:4" x14ac:dyDescent="0.15">
      <c r="A40" s="1">
        <v>42917</v>
      </c>
      <c r="C40" s="2">
        <f t="shared" ca="1" si="0"/>
        <v>9914.3775138750007</v>
      </c>
      <c r="D40" s="5"/>
    </row>
    <row r="41" spans="1:4" x14ac:dyDescent="0.15">
      <c r="A41" s="1">
        <v>42948</v>
      </c>
      <c r="C41" s="2">
        <f t="shared" ca="1" si="0"/>
        <v>8993.2944343750005</v>
      </c>
      <c r="D41" s="5"/>
    </row>
    <row r="42" spans="1:4" x14ac:dyDescent="0.15">
      <c r="A42" s="1">
        <v>42979</v>
      </c>
      <c r="C42" s="2">
        <f t="shared" ca="1" si="0"/>
        <v>8069.5248420000007</v>
      </c>
      <c r="D42" s="5"/>
    </row>
    <row r="43" spans="1:4" x14ac:dyDescent="0.15">
      <c r="A43" s="1">
        <v>43009</v>
      </c>
      <c r="C43" s="2">
        <f t="shared" ca="1" si="0"/>
        <v>7143.0609140000006</v>
      </c>
      <c r="D43" s="5"/>
    </row>
    <row r="44" spans="1:4" x14ac:dyDescent="0.15">
      <c r="A44" s="1">
        <v>43040</v>
      </c>
      <c r="C44" s="2">
        <f t="shared" ca="1" si="0"/>
        <v>6213.8948276250003</v>
      </c>
      <c r="D44" s="5"/>
    </row>
    <row r="45" spans="1:4" x14ac:dyDescent="0.15">
      <c r="A45" s="1">
        <v>43070</v>
      </c>
      <c r="C45" s="2">
        <f t="shared" ca="1" si="0"/>
        <v>5282.018659833333</v>
      </c>
      <c r="D45" s="5"/>
    </row>
    <row r="46" spans="1:4" x14ac:dyDescent="0.15">
      <c r="A46" s="1">
        <v>43101</v>
      </c>
      <c r="C46" s="2">
        <f t="shared" ca="1" si="0"/>
        <v>4347.4245878749998</v>
      </c>
      <c r="D46" s="5"/>
    </row>
    <row r="47" spans="1:4" x14ac:dyDescent="0.15">
      <c r="A47" s="1">
        <v>43132</v>
      </c>
      <c r="C47" s="2">
        <f t="shared" ca="1" si="0"/>
        <v>3410.104588416667</v>
      </c>
      <c r="D47" s="5"/>
    </row>
    <row r="48" spans="1:4" x14ac:dyDescent="0.15">
      <c r="A48" s="1">
        <v>43160</v>
      </c>
      <c r="C48" s="2">
        <f t="shared" ca="1" si="0"/>
        <v>2470.0507384166667</v>
      </c>
      <c r="D48" s="5"/>
    </row>
    <row r="49" spans="1:4" x14ac:dyDescent="0.15">
      <c r="A49" s="1">
        <v>43191</v>
      </c>
      <c r="C49" s="2">
        <f t="shared" ca="1" si="0"/>
        <v>1527.2550145416667</v>
      </c>
      <c r="D49" s="5"/>
    </row>
    <row r="50" spans="1:4" x14ac:dyDescent="0.15">
      <c r="A50" s="1">
        <v>43221</v>
      </c>
      <c r="C50" s="2">
        <f t="shared" ca="1" si="0"/>
        <v>581.70949375000009</v>
      </c>
      <c r="D50" s="5"/>
    </row>
    <row r="51" spans="1:4" x14ac:dyDescent="0.15">
      <c r="A51" s="1">
        <v>43252</v>
      </c>
      <c r="C51" s="2">
        <f t="shared" ca="1" si="0"/>
        <v>-366.59384729166663</v>
      </c>
      <c r="D51" s="5"/>
    </row>
    <row r="52" spans="1:4" x14ac:dyDescent="0.15">
      <c r="A52" s="1">
        <v>43282</v>
      </c>
      <c r="C52" s="2">
        <f t="shared" ca="1" si="0"/>
        <v>-1317.6630319166666</v>
      </c>
    </row>
    <row r="53" spans="1:4" x14ac:dyDescent="0.15">
      <c r="A53" s="1">
        <v>43313</v>
      </c>
      <c r="C53" s="2">
        <f t="shared" ca="1" si="0"/>
        <v>-2271.5061837499998</v>
      </c>
    </row>
    <row r="54" spans="1:4" x14ac:dyDescent="0.15">
      <c r="A54" s="1">
        <v>43344</v>
      </c>
      <c r="C54" s="2">
        <f t="shared" ca="1" si="0"/>
        <v>-3228.1314264166667</v>
      </c>
    </row>
    <row r="55" spans="1:4" x14ac:dyDescent="0.15">
      <c r="A55" s="1">
        <v>43374</v>
      </c>
      <c r="C55" s="2">
        <f t="shared" ca="1" si="0"/>
        <v>-4187.5467832499999</v>
      </c>
    </row>
    <row r="56" spans="1:4" x14ac:dyDescent="0.15">
      <c r="A56" s="1">
        <v>43405</v>
      </c>
      <c r="C56" s="2">
        <f t="shared" ca="1" si="0"/>
        <v>-5149.7604781666669</v>
      </c>
    </row>
    <row r="57" spans="1:4" x14ac:dyDescent="0.15">
      <c r="A57" s="1">
        <v>43435</v>
      </c>
      <c r="C57" s="2">
        <f t="shared" ca="1" si="0"/>
        <v>-6114.7806347916667</v>
      </c>
    </row>
    <row r="58" spans="1:4" x14ac:dyDescent="0.15">
      <c r="A58" s="1">
        <v>43466</v>
      </c>
      <c r="C58" s="2">
        <f t="shared" ca="1" si="0"/>
        <v>-7082.61537675</v>
      </c>
    </row>
    <row r="59" spans="1:4" x14ac:dyDescent="0.15">
      <c r="A59" s="1">
        <v>43497</v>
      </c>
      <c r="C59" s="2">
        <f t="shared" ca="1" si="0"/>
        <v>-8053.2730282499997</v>
      </c>
    </row>
    <row r="60" spans="1:4" x14ac:dyDescent="0.15">
      <c r="A60" s="1">
        <v>43525</v>
      </c>
      <c r="C60" s="2">
        <f t="shared" ca="1" si="0"/>
        <v>-9026.7617129166665</v>
      </c>
    </row>
    <row r="61" spans="1:4" x14ac:dyDescent="0.15">
      <c r="A61" s="1">
        <v>43556</v>
      </c>
      <c r="C61" s="2">
        <f t="shared" ca="1" si="0"/>
        <v>-10003.089754958333</v>
      </c>
    </row>
    <row r="62" spans="1:4" x14ac:dyDescent="0.15">
      <c r="A62" s="1">
        <v>43586</v>
      </c>
      <c r="C62" s="2">
        <f t="shared" ca="1" si="0"/>
        <v>-10982.265478583333</v>
      </c>
    </row>
    <row r="63" spans="1:4" x14ac:dyDescent="0.15">
      <c r="A63" s="1">
        <v>43617</v>
      </c>
      <c r="C63" s="2">
        <f t="shared" ca="1" si="0"/>
        <v>-11964.297107708333</v>
      </c>
    </row>
    <row r="64" spans="1:4" x14ac:dyDescent="0.15">
      <c r="A64" s="1">
        <v>43647</v>
      </c>
      <c r="C64" s="2">
        <f t="shared" ca="1" si="0"/>
        <v>-12949.192966541666</v>
      </c>
    </row>
    <row r="65" spans="1:3" x14ac:dyDescent="0.15">
      <c r="A65" s="1">
        <v>43678</v>
      </c>
      <c r="C65" s="2">
        <f t="shared" ca="1" si="0"/>
        <v>-13936.961479583333</v>
      </c>
    </row>
    <row r="66" spans="1:3" x14ac:dyDescent="0.15">
      <c r="A66" s="1">
        <v>43709</v>
      </c>
      <c r="C66" s="2">
        <f t="shared" ca="1" si="0"/>
        <v>-14927.610971041666</v>
      </c>
    </row>
    <row r="67" spans="1:3" x14ac:dyDescent="0.15">
      <c r="A67" s="1">
        <v>43739</v>
      </c>
      <c r="C67" s="2">
        <f t="shared" ca="1" si="0"/>
        <v>-15921.149865416668</v>
      </c>
    </row>
    <row r="68" spans="1:3" x14ac:dyDescent="0.15">
      <c r="A68" s="1">
        <v>43770</v>
      </c>
      <c r="C68" s="2">
        <f t="shared" ref="C68:C131" ca="1" si="1">AMTLEFT(C67,B68,B:B,$G$2,12)</f>
        <v>-16917.586587208334</v>
      </c>
    </row>
    <row r="69" spans="1:3" x14ac:dyDescent="0.15">
      <c r="A69" s="1">
        <v>43800</v>
      </c>
      <c r="C69" s="2">
        <f t="shared" ca="1" si="1"/>
        <v>-17916.929560916666</v>
      </c>
    </row>
    <row r="70" spans="1:3" x14ac:dyDescent="0.15">
      <c r="A70" s="1">
        <v>43831</v>
      </c>
      <c r="C70" s="2">
        <f t="shared" ca="1" si="1"/>
        <v>-18919.187311333331</v>
      </c>
    </row>
    <row r="71" spans="1:3" x14ac:dyDescent="0.15">
      <c r="A71" s="1">
        <v>43862</v>
      </c>
      <c r="C71" s="2">
        <f t="shared" ca="1" si="1"/>
        <v>-19924.368262958335</v>
      </c>
    </row>
    <row r="72" spans="1:3" x14ac:dyDescent="0.15">
      <c r="A72" s="1">
        <v>43891</v>
      </c>
      <c r="C72" s="2">
        <f t="shared" ca="1" si="1"/>
        <v>-20932.481040874998</v>
      </c>
    </row>
    <row r="73" spans="1:3" x14ac:dyDescent="0.15">
      <c r="A73" s="1">
        <v>43922</v>
      </c>
      <c r="C73" s="2">
        <f t="shared" ca="1" si="1"/>
        <v>-21943.534069583333</v>
      </c>
    </row>
    <row r="74" spans="1:3" x14ac:dyDescent="0.15">
      <c r="A74" s="1">
        <v>43952</v>
      </c>
      <c r="C74" s="2">
        <f t="shared" ca="1" si="1"/>
        <v>-22957.536074458334</v>
      </c>
    </row>
    <row r="75" spans="1:3" x14ac:dyDescent="0.15">
      <c r="A75" s="1">
        <v>43983</v>
      </c>
      <c r="C75" s="2">
        <f t="shared" ca="1" si="1"/>
        <v>-23974.495580291667</v>
      </c>
    </row>
    <row r="76" spans="1:3" x14ac:dyDescent="0.15">
      <c r="A76" s="1">
        <v>44013</v>
      </c>
      <c r="C76" s="2">
        <f t="shared" ca="1" si="1"/>
        <v>-24994.421212166664</v>
      </c>
    </row>
    <row r="77" spans="1:3" x14ac:dyDescent="0.15">
      <c r="A77" s="1">
        <v>44044</v>
      </c>
      <c r="C77" s="2">
        <f t="shared" ca="1" si="1"/>
        <v>-26017.321595166668</v>
      </c>
    </row>
    <row r="78" spans="1:3" x14ac:dyDescent="0.15">
      <c r="A78" s="1">
        <v>44075</v>
      </c>
      <c r="C78" s="2">
        <f t="shared" ca="1" si="1"/>
        <v>-27043.205454666666</v>
      </c>
    </row>
    <row r="79" spans="1:3" x14ac:dyDescent="0.15">
      <c r="A79" s="1">
        <v>44105</v>
      </c>
      <c r="C79" s="2">
        <f t="shared" ca="1" si="1"/>
        <v>-28072.081516041668</v>
      </c>
    </row>
    <row r="80" spans="1:3" x14ac:dyDescent="0.15">
      <c r="A80" s="1">
        <v>44136</v>
      </c>
      <c r="C80" s="2">
        <f t="shared" ca="1" si="1"/>
        <v>-29103.958404375</v>
      </c>
    </row>
    <row r="81" spans="1:3" x14ac:dyDescent="0.15">
      <c r="A81" s="1">
        <v>44166</v>
      </c>
      <c r="C81" s="2">
        <f t="shared" ca="1" si="1"/>
        <v>-30138.844945333334</v>
      </c>
    </row>
    <row r="82" spans="1:3" x14ac:dyDescent="0.15">
      <c r="A82" s="1">
        <v>44197</v>
      </c>
      <c r="C82" s="2">
        <f t="shared" ca="1" si="1"/>
        <v>-31176.749864291665</v>
      </c>
    </row>
    <row r="83" spans="1:3" x14ac:dyDescent="0.15">
      <c r="A83" s="1">
        <v>44228</v>
      </c>
      <c r="C83" s="2">
        <f t="shared" ca="1" si="1"/>
        <v>-32217.682087208334</v>
      </c>
    </row>
    <row r="84" spans="1:3" x14ac:dyDescent="0.15">
      <c r="A84" s="1">
        <v>44256</v>
      </c>
      <c r="C84" s="2">
        <f t="shared" ca="1" si="1"/>
        <v>-33261.650339458334</v>
      </c>
    </row>
    <row r="85" spans="1:3" x14ac:dyDescent="0.15">
      <c r="A85" s="1">
        <v>44287</v>
      </c>
      <c r="C85" s="2">
        <f t="shared" ca="1" si="1"/>
        <v>-34308.663446708335</v>
      </c>
    </row>
    <row r="86" spans="1:3" x14ac:dyDescent="0.15">
      <c r="A86" s="1">
        <v>44317</v>
      </c>
      <c r="C86" s="2">
        <f t="shared" ca="1" si="1"/>
        <v>-35358.730334916661</v>
      </c>
    </row>
    <row r="87" spans="1:3" x14ac:dyDescent="0.15">
      <c r="A87" s="1">
        <v>44348</v>
      </c>
      <c r="C87" s="2">
        <f t="shared" ca="1" si="1"/>
        <v>-36411.859930041668</v>
      </c>
    </row>
    <row r="88" spans="1:3" x14ac:dyDescent="0.15">
      <c r="A88" s="1">
        <v>44378</v>
      </c>
      <c r="C88" s="2">
        <f t="shared" ca="1" si="1"/>
        <v>-37468.061158041673</v>
      </c>
    </row>
    <row r="89" spans="1:3" x14ac:dyDescent="0.15">
      <c r="A89" s="1">
        <v>44409</v>
      </c>
      <c r="C89" s="2">
        <f t="shared" ca="1" si="1"/>
        <v>-38527.343045166665</v>
      </c>
    </row>
    <row r="90" spans="1:3" x14ac:dyDescent="0.15">
      <c r="A90" s="1">
        <v>44440</v>
      </c>
      <c r="C90" s="2">
        <f t="shared" ca="1" si="1"/>
        <v>-39589.714417083334</v>
      </c>
    </row>
    <row r="91" spans="1:3" x14ac:dyDescent="0.15">
      <c r="A91" s="1">
        <v>44470</v>
      </c>
      <c r="C91" s="2">
        <f t="shared" ca="1" si="1"/>
        <v>-40655.184400333332</v>
      </c>
    </row>
    <row r="92" spans="1:3" x14ac:dyDescent="0.15">
      <c r="A92" s="1">
        <v>44501</v>
      </c>
      <c r="C92" s="2">
        <f t="shared" ca="1" si="1"/>
        <v>-41723.762021166665</v>
      </c>
    </row>
    <row r="93" spans="1:3" x14ac:dyDescent="0.15">
      <c r="A93" s="1">
        <v>44531</v>
      </c>
      <c r="C93" s="2">
        <f t="shared" ca="1" si="1"/>
        <v>-42795.456305833337</v>
      </c>
    </row>
    <row r="94" spans="1:3" x14ac:dyDescent="0.15">
      <c r="A94" s="1">
        <v>44562</v>
      </c>
      <c r="C94" s="2">
        <f t="shared" ca="1" si="1"/>
        <v>-43870.276380874995</v>
      </c>
    </row>
    <row r="95" spans="1:3" x14ac:dyDescent="0.15">
      <c r="A95" s="1">
        <v>44593</v>
      </c>
      <c r="C95" s="2">
        <f t="shared" ca="1" si="1"/>
        <v>-44948.231372833339</v>
      </c>
    </row>
    <row r="96" spans="1:3" x14ac:dyDescent="0.15">
      <c r="A96" s="1">
        <v>44621</v>
      </c>
      <c r="C96" s="2">
        <f t="shared" ca="1" si="1"/>
        <v>-46029.330408249996</v>
      </c>
    </row>
    <row r="97" spans="1:3" x14ac:dyDescent="0.15">
      <c r="A97" s="1">
        <v>44652</v>
      </c>
      <c r="C97" s="2">
        <f t="shared" ca="1" si="1"/>
        <v>-47113.582613666666</v>
      </c>
    </row>
    <row r="98" spans="1:3" x14ac:dyDescent="0.15">
      <c r="A98" s="1">
        <v>44682</v>
      </c>
      <c r="C98" s="2">
        <f t="shared" ca="1" si="1"/>
        <v>-48200.997215916672</v>
      </c>
    </row>
    <row r="99" spans="1:3" x14ac:dyDescent="0.15">
      <c r="A99" s="1">
        <v>44713</v>
      </c>
      <c r="C99" s="2">
        <f t="shared" ca="1" si="1"/>
        <v>-49291.583441833332</v>
      </c>
    </row>
    <row r="100" spans="1:3" x14ac:dyDescent="0.15">
      <c r="A100" s="1">
        <v>44743</v>
      </c>
      <c r="C100" s="2">
        <f t="shared" ca="1" si="1"/>
        <v>-50385.350518250001</v>
      </c>
    </row>
    <row r="101" spans="1:3" x14ac:dyDescent="0.15">
      <c r="A101" s="1">
        <v>44774</v>
      </c>
      <c r="C101" s="2">
        <f t="shared" ca="1" si="1"/>
        <v>-51482.307772291664</v>
      </c>
    </row>
    <row r="102" spans="1:3" x14ac:dyDescent="0.15">
      <c r="A102" s="1">
        <v>44805</v>
      </c>
      <c r="C102" s="2">
        <f t="shared" ca="1" si="1"/>
        <v>-52582.464531083337</v>
      </c>
    </row>
    <row r="103" spans="1:3" x14ac:dyDescent="0.15">
      <c r="A103" s="1">
        <v>44835</v>
      </c>
      <c r="C103" s="2">
        <f t="shared" ca="1" si="1"/>
        <v>-53685.830021458336</v>
      </c>
    </row>
    <row r="104" spans="1:3" x14ac:dyDescent="0.15">
      <c r="A104" s="1">
        <v>44866</v>
      </c>
      <c r="C104" s="2">
        <f t="shared" ca="1" si="1"/>
        <v>-54792.413670833339</v>
      </c>
    </row>
    <row r="105" spans="1:3" x14ac:dyDescent="0.15">
      <c r="A105" s="1">
        <v>44896</v>
      </c>
      <c r="C105" s="2">
        <f t="shared" ca="1" si="1"/>
        <v>-55902.224906625001</v>
      </c>
    </row>
    <row r="106" spans="1:3" x14ac:dyDescent="0.15">
      <c r="A106" s="1">
        <v>44927</v>
      </c>
      <c r="C106" s="2">
        <f t="shared" ca="1" si="1"/>
        <v>-57015.273055958336</v>
      </c>
    </row>
    <row r="107" spans="1:3" x14ac:dyDescent="0.15">
      <c r="A107" s="1">
        <v>44958</v>
      </c>
      <c r="C107" s="2">
        <f t="shared" ca="1" si="1"/>
        <v>-58131.567646541669</v>
      </c>
    </row>
    <row r="108" spans="1:3" x14ac:dyDescent="0.15">
      <c r="A108" s="1">
        <v>44986</v>
      </c>
      <c r="C108" s="2">
        <f t="shared" ca="1" si="1"/>
        <v>-59251.1180055</v>
      </c>
    </row>
    <row r="109" spans="1:3" x14ac:dyDescent="0.15">
      <c r="A109" s="1">
        <v>45017</v>
      </c>
      <c r="C109" s="2">
        <f t="shared" ca="1" si="1"/>
        <v>-60373.933760833337</v>
      </c>
    </row>
    <row r="110" spans="1:3" x14ac:dyDescent="0.15">
      <c r="A110" s="1">
        <v>45047</v>
      </c>
      <c r="C110" s="2">
        <f t="shared" ca="1" si="1"/>
        <v>-61500.024440250003</v>
      </c>
    </row>
    <row r="111" spans="1:3" x14ac:dyDescent="0.15">
      <c r="A111" s="1">
        <v>45078</v>
      </c>
      <c r="C111" s="2">
        <f t="shared" ca="1" si="1"/>
        <v>-62629.399471166667</v>
      </c>
    </row>
    <row r="112" spans="1:3" x14ac:dyDescent="0.15">
      <c r="A112" s="1">
        <v>45108</v>
      </c>
      <c r="C112" s="2">
        <f t="shared" ca="1" si="1"/>
        <v>-63762.068581874999</v>
      </c>
    </row>
    <row r="113" spans="1:3" x14ac:dyDescent="0.15">
      <c r="A113" s="1">
        <v>45139</v>
      </c>
      <c r="C113" s="2">
        <f t="shared" ca="1" si="1"/>
        <v>-64898.041300083336</v>
      </c>
    </row>
    <row r="114" spans="1:3" x14ac:dyDescent="0.15">
      <c r="A114" s="1">
        <v>45170</v>
      </c>
      <c r="C114" s="2">
        <f t="shared" ca="1" si="1"/>
        <v>-66037.327253791664</v>
      </c>
    </row>
    <row r="115" spans="1:3" x14ac:dyDescent="0.15">
      <c r="A115" s="1">
        <v>45200</v>
      </c>
      <c r="C115" s="2">
        <f t="shared" ca="1" si="1"/>
        <v>-67179.936171291673</v>
      </c>
    </row>
    <row r="116" spans="1:3" x14ac:dyDescent="0.15">
      <c r="A116" s="1">
        <v>45231</v>
      </c>
      <c r="C116" s="2">
        <f t="shared" ca="1" si="1"/>
        <v>-68325.877680583333</v>
      </c>
    </row>
    <row r="117" spans="1:3" x14ac:dyDescent="0.15">
      <c r="A117" s="1">
        <v>45261</v>
      </c>
      <c r="C117" s="2">
        <f t="shared" ca="1" si="1"/>
        <v>-69475.161509958329</v>
      </c>
    </row>
    <row r="118" spans="1:3" x14ac:dyDescent="0.15">
      <c r="A118" s="1">
        <v>45292</v>
      </c>
      <c r="C118" s="2">
        <f t="shared" ca="1" si="1"/>
        <v>-70627.797387708342</v>
      </c>
    </row>
    <row r="119" spans="1:3" x14ac:dyDescent="0.15">
      <c r="A119" s="1">
        <v>45323</v>
      </c>
      <c r="C119" s="2">
        <f t="shared" ca="1" si="1"/>
        <v>-71783.795142416668</v>
      </c>
    </row>
    <row r="120" spans="1:3" x14ac:dyDescent="0.15">
      <c r="A120" s="1">
        <v>45352</v>
      </c>
      <c r="C120" s="2">
        <f t="shared" ca="1" si="1"/>
        <v>-72943.164502375002</v>
      </c>
    </row>
    <row r="121" spans="1:3" x14ac:dyDescent="0.15">
      <c r="A121" s="1">
        <v>45383</v>
      </c>
      <c r="C121" s="2">
        <f t="shared" ca="1" si="1"/>
        <v>-74105.915396458338</v>
      </c>
    </row>
    <row r="122" spans="1:3" x14ac:dyDescent="0.15">
      <c r="A122" s="1">
        <v>45413</v>
      </c>
      <c r="C122" s="2">
        <f t="shared" ca="1" si="1"/>
        <v>-75272.057653249998</v>
      </c>
    </row>
    <row r="123" spans="1:3" x14ac:dyDescent="0.15">
      <c r="A123" s="1">
        <v>45444</v>
      </c>
      <c r="C123" s="2">
        <f t="shared" ca="1" si="1"/>
        <v>-76441.601201625002</v>
      </c>
    </row>
    <row r="124" spans="1:3" x14ac:dyDescent="0.15">
      <c r="A124" s="1">
        <v>45474</v>
      </c>
      <c r="C124" s="2">
        <f t="shared" ca="1" si="1"/>
        <v>-77614.555870166674</v>
      </c>
    </row>
    <row r="125" spans="1:3" x14ac:dyDescent="0.15">
      <c r="A125" s="1">
        <v>45505</v>
      </c>
      <c r="C125" s="2">
        <f t="shared" ca="1" si="1"/>
        <v>-78790.931688041674</v>
      </c>
    </row>
    <row r="126" spans="1:3" x14ac:dyDescent="0.15">
      <c r="A126" s="1">
        <v>45536</v>
      </c>
      <c r="C126" s="2">
        <f t="shared" ca="1" si="1"/>
        <v>-79970.738584125007</v>
      </c>
    </row>
    <row r="127" spans="1:3" x14ac:dyDescent="0.15">
      <c r="A127" s="1">
        <v>45566</v>
      </c>
      <c r="C127" s="2">
        <f t="shared" ca="1" si="1"/>
        <v>-81153.986587583335</v>
      </c>
    </row>
    <row r="128" spans="1:3" x14ac:dyDescent="0.15">
      <c r="A128" s="1">
        <v>45597</v>
      </c>
      <c r="C128" s="2">
        <f t="shared" ca="1" si="1"/>
        <v>-82340.685727583332</v>
      </c>
    </row>
    <row r="129" spans="1:3" x14ac:dyDescent="0.15">
      <c r="A129" s="1">
        <v>45627</v>
      </c>
      <c r="C129" s="2">
        <f t="shared" ca="1" si="1"/>
        <v>-83530.846033291673</v>
      </c>
    </row>
    <row r="130" spans="1:3" x14ac:dyDescent="0.15">
      <c r="A130" s="1">
        <v>45658</v>
      </c>
      <c r="C130" s="2">
        <f t="shared" ca="1" si="1"/>
        <v>-84724.477634166673</v>
      </c>
    </row>
    <row r="131" spans="1:3" x14ac:dyDescent="0.15">
      <c r="A131" s="1">
        <v>45689</v>
      </c>
      <c r="C131" s="2">
        <f t="shared" ca="1" si="1"/>
        <v>-85921.590659666661</v>
      </c>
    </row>
    <row r="132" spans="1:3" x14ac:dyDescent="0.15">
      <c r="A132" s="1">
        <v>45717</v>
      </c>
      <c r="C132" s="2">
        <f t="shared" ref="C132:C137" ca="1" si="2">AMTLEFT(C131,B132,B:B,$G$2,12)</f>
        <v>-87122.195339541664</v>
      </c>
    </row>
    <row r="133" spans="1:3" x14ac:dyDescent="0.15">
      <c r="A133" s="1">
        <v>45748</v>
      </c>
      <c r="C133" s="2">
        <f t="shared" ca="1" si="2"/>
        <v>-88326.301702958343</v>
      </c>
    </row>
    <row r="134" spans="1:3" x14ac:dyDescent="0.15">
      <c r="A134" s="1">
        <v>45778</v>
      </c>
      <c r="C134" s="2">
        <f t="shared" ca="1" si="2"/>
        <v>-89533.920079958334</v>
      </c>
    </row>
    <row r="135" spans="1:3" x14ac:dyDescent="0.15">
      <c r="A135" s="1">
        <v>45809</v>
      </c>
      <c r="C135" s="2">
        <f t="shared" ca="1" si="2"/>
        <v>-90745.060700291666</v>
      </c>
    </row>
    <row r="136" spans="1:3" x14ac:dyDescent="0.15">
      <c r="A136" s="1">
        <v>45839</v>
      </c>
      <c r="C136" s="2">
        <f t="shared" ca="1" si="2"/>
        <v>-91959.733793708336</v>
      </c>
    </row>
    <row r="137" spans="1:3" x14ac:dyDescent="0.15">
      <c r="A137" s="1">
        <v>45870</v>
      </c>
      <c r="C137" s="2">
        <f t="shared" ca="1" si="2"/>
        <v>-93177.949690249996</v>
      </c>
    </row>
    <row r="138" spans="1:3" x14ac:dyDescent="0.15">
      <c r="A138" s="1"/>
    </row>
    <row r="139" spans="1:3" x14ac:dyDescent="0.15">
      <c r="A139" s="1"/>
    </row>
    <row r="140" spans="1:3" x14ac:dyDescent="0.15">
      <c r="A140" s="1"/>
    </row>
    <row r="141" spans="1:3" x14ac:dyDescent="0.15">
      <c r="A141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</sheetData>
  <mergeCells count="2">
    <mergeCell ref="I1:K1"/>
    <mergeCell ref="I5:K5"/>
  </mergeCells>
  <phoneticPr fontId="0" type="noConversion"/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163"/>
  <sheetViews>
    <sheetView tabSelected="1" zoomScale="150" zoomScaleNormal="150" zoomScalePageLayoutView="150" workbookViewId="0">
      <selection activeCell="F12" sqref="F12"/>
    </sheetView>
  </sheetViews>
  <sheetFormatPr baseColWidth="10" defaultColWidth="9.1640625" defaultRowHeight="13" x14ac:dyDescent="0.15"/>
  <cols>
    <col min="1" max="1" width="11.83203125" style="15" customWidth="1"/>
    <col min="2" max="2" width="14" style="2" customWidth="1"/>
    <col min="3" max="3" width="25.1640625" style="2" customWidth="1"/>
    <col min="4" max="4" width="4" customWidth="1"/>
    <col min="5" max="5" width="17.83203125" customWidth="1"/>
    <col min="6" max="6" width="12.83203125" customWidth="1"/>
    <col min="7" max="7" width="9.1640625" customWidth="1"/>
    <col min="8" max="8" width="12.1640625" customWidth="1"/>
    <col min="9" max="9" width="15.83203125" customWidth="1"/>
  </cols>
  <sheetData>
    <row r="1" spans="1:9" ht="14" thickBot="1" x14ac:dyDescent="0.2">
      <c r="A1" s="8" t="s">
        <v>0</v>
      </c>
      <c r="B1" s="6" t="s">
        <v>1</v>
      </c>
      <c r="C1" s="6" t="s">
        <v>2</v>
      </c>
      <c r="E1" s="6" t="s">
        <v>4</v>
      </c>
      <c r="G1" s="21" t="s">
        <v>5</v>
      </c>
      <c r="H1" s="21"/>
      <c r="I1" s="21"/>
    </row>
    <row r="2" spans="1:9" x14ac:dyDescent="0.15">
      <c r="A2" s="9" t="s">
        <v>3</v>
      </c>
      <c r="B2" s="2">
        <v>0</v>
      </c>
      <c r="C2" s="2">
        <v>50000</v>
      </c>
      <c r="E2" s="2">
        <f ca="1">LASTINCOLUMN(B:B)</f>
        <v>500</v>
      </c>
      <c r="G2" s="10" t="s">
        <v>6</v>
      </c>
      <c r="H2" s="10" t="s">
        <v>7</v>
      </c>
      <c r="I2" s="10" t="s">
        <v>8</v>
      </c>
    </row>
    <row r="3" spans="1:9" x14ac:dyDescent="0.15">
      <c r="A3" s="11">
        <v>41802</v>
      </c>
      <c r="B3" s="2">
        <v>500</v>
      </c>
      <c r="C3" s="2">
        <f ca="1">AMTLEFT(C2,B3,B:B,$F$15,26)</f>
        <v>49567.254999999997</v>
      </c>
      <c r="G3" s="12">
        <f>((1+(H3/I3)))^I3-1</f>
        <v>2.1713135001109052E-2</v>
      </c>
      <c r="H3" s="13">
        <v>2.1499999999999998E-2</v>
      </c>
      <c r="I3" s="14">
        <v>12</v>
      </c>
    </row>
    <row r="4" spans="1:9" x14ac:dyDescent="0.15">
      <c r="A4" s="11">
        <v>41816</v>
      </c>
      <c r="B4" s="2">
        <v>500</v>
      </c>
      <c r="C4" s="2">
        <f t="shared" ref="C4:C19" ca="1" si="0">AMTLEFT(C3,B4,B:B,$F$15,26)</f>
        <v>49133.927900000002</v>
      </c>
    </row>
    <row r="5" spans="1:9" x14ac:dyDescent="0.15">
      <c r="A5" s="11">
        <v>41830</v>
      </c>
      <c r="B5" s="2">
        <v>500</v>
      </c>
      <c r="C5" s="2">
        <f t="shared" ca="1" si="0"/>
        <v>48700.017899999999</v>
      </c>
      <c r="D5" s="5"/>
      <c r="G5" s="21" t="s">
        <v>9</v>
      </c>
      <c r="H5" s="21"/>
      <c r="I5" s="21"/>
    </row>
    <row r="6" spans="1:9" x14ac:dyDescent="0.15">
      <c r="A6" s="11">
        <v>41844</v>
      </c>
      <c r="B6" s="2">
        <v>500</v>
      </c>
      <c r="C6" s="2">
        <f t="shared" ca="1" si="0"/>
        <v>48265.524299999997</v>
      </c>
      <c r="D6" s="5"/>
      <c r="G6" s="10" t="s">
        <v>7</v>
      </c>
      <c r="H6" s="10" t="s">
        <v>6</v>
      </c>
      <c r="I6" s="10" t="s">
        <v>8</v>
      </c>
    </row>
    <row r="7" spans="1:9" x14ac:dyDescent="0.15">
      <c r="A7" s="11">
        <v>41858</v>
      </c>
      <c r="B7" s="2">
        <v>500</v>
      </c>
      <c r="C7" s="2">
        <f t="shared" ca="1" si="0"/>
        <v>47830.446300000003</v>
      </c>
      <c r="D7" s="5"/>
      <c r="G7" s="12">
        <f>((H7+1)^(1/I7)-1)*I7</f>
        <v>2.1489638524491816E-2</v>
      </c>
      <c r="H7" s="13">
        <f>G3</f>
        <v>2.1713135001109052E-2</v>
      </c>
      <c r="I7" s="14">
        <v>26</v>
      </c>
    </row>
    <row r="8" spans="1:9" x14ac:dyDescent="0.15">
      <c r="A8" s="11">
        <v>41872</v>
      </c>
      <c r="B8" s="2">
        <v>500</v>
      </c>
      <c r="C8" s="2">
        <f t="shared" ca="1" si="0"/>
        <v>47394.783000000003</v>
      </c>
      <c r="D8" s="5"/>
    </row>
    <row r="9" spans="1:9" x14ac:dyDescent="0.15">
      <c r="A9" s="11">
        <v>41886</v>
      </c>
      <c r="B9" s="2">
        <v>500</v>
      </c>
      <c r="C9" s="2">
        <f t="shared" ca="1" si="0"/>
        <v>46958.5337</v>
      </c>
      <c r="D9" s="5"/>
    </row>
    <row r="10" spans="1:9" x14ac:dyDescent="0.15">
      <c r="A10" s="11">
        <v>41900</v>
      </c>
      <c r="B10" s="2">
        <v>500</v>
      </c>
      <c r="C10" s="2">
        <f t="shared" ca="1" si="0"/>
        <v>46521.6976</v>
      </c>
      <c r="D10" s="5"/>
      <c r="E10" t="s">
        <v>11</v>
      </c>
      <c r="F10" s="5">
        <f>SUM(B:B)</f>
        <v>14500</v>
      </c>
    </row>
    <row r="11" spans="1:9" x14ac:dyDescent="0.15">
      <c r="A11" s="11">
        <v>41914</v>
      </c>
      <c r="B11" s="2">
        <v>500</v>
      </c>
      <c r="C11" s="2">
        <f t="shared" ca="1" si="0"/>
        <v>46084.2739</v>
      </c>
      <c r="D11" s="5"/>
      <c r="E11" t="s">
        <v>12</v>
      </c>
      <c r="F11" s="17">
        <f ca="1">C2-TOTALDEBTPAID(B:B)</f>
        <v>12889.3367</v>
      </c>
    </row>
    <row r="12" spans="1:9" x14ac:dyDescent="0.15">
      <c r="A12" s="11">
        <v>41928</v>
      </c>
      <c r="B12" s="2">
        <v>500</v>
      </c>
      <c r="C12" s="2">
        <f t="shared" ca="1" si="0"/>
        <v>45646.261899999998</v>
      </c>
      <c r="D12" s="5"/>
      <c r="E12" t="s">
        <v>13</v>
      </c>
      <c r="F12" s="17">
        <f ca="1">F10-F11</f>
        <v>1610.6633000000002</v>
      </c>
    </row>
    <row r="13" spans="1:9" x14ac:dyDescent="0.15">
      <c r="A13" s="11">
        <v>41942</v>
      </c>
      <c r="B13" s="2">
        <v>500</v>
      </c>
      <c r="C13" s="2">
        <f t="shared" ca="1" si="0"/>
        <v>45207.6607</v>
      </c>
      <c r="D13" s="5"/>
    </row>
    <row r="14" spans="1:9" x14ac:dyDescent="0.15">
      <c r="A14" s="11">
        <v>41956</v>
      </c>
      <c r="B14" s="2">
        <v>500</v>
      </c>
      <c r="C14" s="2">
        <f t="shared" ca="1" si="0"/>
        <v>44768.469499999999</v>
      </c>
      <c r="D14" s="5"/>
      <c r="E14" s="18" t="s">
        <v>14</v>
      </c>
      <c r="F14" s="18" t="s">
        <v>15</v>
      </c>
    </row>
    <row r="15" spans="1:9" x14ac:dyDescent="0.15">
      <c r="A15" s="11">
        <v>41970</v>
      </c>
      <c r="B15" s="2">
        <v>500</v>
      </c>
      <c r="C15" s="2">
        <f t="shared" ca="1" si="0"/>
        <v>44328.687599999997</v>
      </c>
      <c r="D15" s="5"/>
      <c r="E15" t="s">
        <v>16</v>
      </c>
      <c r="F15" s="19">
        <v>3.49726E-2</v>
      </c>
    </row>
    <row r="16" spans="1:9" x14ac:dyDescent="0.15">
      <c r="A16" s="11">
        <v>41984</v>
      </c>
      <c r="B16" s="2">
        <v>500</v>
      </c>
      <c r="C16" s="2">
        <f t="shared" ca="1" si="0"/>
        <v>43888.314100000003</v>
      </c>
      <c r="D16" s="5"/>
      <c r="E16" t="s">
        <v>17</v>
      </c>
      <c r="F16" s="19">
        <v>3.3474900000000002E-2</v>
      </c>
    </row>
    <row r="17" spans="1:6" x14ac:dyDescent="0.15">
      <c r="A17" s="11">
        <v>41998</v>
      </c>
      <c r="B17" s="2">
        <v>500</v>
      </c>
      <c r="C17" s="2">
        <f t="shared" ca="1" si="0"/>
        <v>43447.348299999998</v>
      </c>
      <c r="D17" s="5"/>
      <c r="E17" s="20" t="s">
        <v>18</v>
      </c>
      <c r="F17" s="19">
        <v>2.1489600000000001E-2</v>
      </c>
    </row>
    <row r="18" spans="1:6" x14ac:dyDescent="0.15">
      <c r="A18" s="11">
        <v>42012</v>
      </c>
      <c r="B18" s="2">
        <v>500</v>
      </c>
      <c r="C18" s="2">
        <f t="shared" ca="1" si="0"/>
        <v>43005.789299999997</v>
      </c>
      <c r="D18" s="5"/>
    </row>
    <row r="19" spans="1:6" x14ac:dyDescent="0.15">
      <c r="A19" s="11">
        <v>42026</v>
      </c>
      <c r="B19" s="2">
        <v>500</v>
      </c>
      <c r="C19" s="2">
        <f t="shared" ca="1" si="0"/>
        <v>42563.636400000003</v>
      </c>
      <c r="D19" s="5"/>
    </row>
    <row r="20" spans="1:6" x14ac:dyDescent="0.15">
      <c r="A20" s="11">
        <v>42040</v>
      </c>
      <c r="B20" s="2">
        <v>500</v>
      </c>
      <c r="C20" s="2">
        <f ca="1">AMTLEFT(C19,B20,B:B,$F$17,26)</f>
        <v>42098.816200000001</v>
      </c>
      <c r="D20" s="5"/>
    </row>
    <row r="21" spans="1:6" x14ac:dyDescent="0.15">
      <c r="A21" s="11">
        <v>42054</v>
      </c>
      <c r="B21" s="2">
        <v>500</v>
      </c>
      <c r="C21" s="2">
        <f t="shared" ref="C21:C28" ca="1" si="1">AMTLEFT(C20,B21,B:B,$F$16,26)</f>
        <v>41653.018300000003</v>
      </c>
      <c r="D21" s="5"/>
    </row>
    <row r="22" spans="1:6" x14ac:dyDescent="0.15">
      <c r="A22" s="11">
        <v>42068</v>
      </c>
      <c r="B22" s="2">
        <v>500</v>
      </c>
      <c r="C22" s="2">
        <f t="shared" ca="1" si="1"/>
        <v>41206.646399999998</v>
      </c>
      <c r="D22" s="5"/>
    </row>
    <row r="23" spans="1:6" x14ac:dyDescent="0.15">
      <c r="A23" s="11">
        <v>42082</v>
      </c>
      <c r="B23" s="2">
        <v>500</v>
      </c>
      <c r="C23" s="2">
        <f t="shared" ca="1" si="1"/>
        <v>40759.699800000002</v>
      </c>
      <c r="D23" s="5"/>
    </row>
    <row r="24" spans="1:6" x14ac:dyDescent="0.15">
      <c r="A24" s="11">
        <v>42096</v>
      </c>
      <c r="B24" s="2">
        <v>500</v>
      </c>
      <c r="C24" s="2">
        <f t="shared" ca="1" si="1"/>
        <v>40312.177799999998</v>
      </c>
      <c r="D24" s="5"/>
    </row>
    <row r="25" spans="1:6" x14ac:dyDescent="0.15">
      <c r="A25" s="11">
        <v>42110</v>
      </c>
      <c r="B25" s="2">
        <v>500</v>
      </c>
      <c r="C25" s="2">
        <f t="shared" ca="1" si="1"/>
        <v>39864.079599999997</v>
      </c>
      <c r="D25" s="5"/>
    </row>
    <row r="26" spans="1:6" x14ac:dyDescent="0.15">
      <c r="A26" s="11">
        <v>42124</v>
      </c>
      <c r="B26" s="2">
        <v>500</v>
      </c>
      <c r="C26" s="2">
        <f t="shared" ca="1" si="1"/>
        <v>39415.404399999999</v>
      </c>
      <c r="D26" s="5"/>
    </row>
    <row r="27" spans="1:6" x14ac:dyDescent="0.15">
      <c r="A27" s="11">
        <v>42138</v>
      </c>
      <c r="B27" s="2">
        <v>500</v>
      </c>
      <c r="C27" s="2">
        <f t="shared" ca="1" si="1"/>
        <v>38966.151599999997</v>
      </c>
      <c r="D27" s="5"/>
    </row>
    <row r="28" spans="1:6" x14ac:dyDescent="0.15">
      <c r="A28" s="11">
        <v>42152</v>
      </c>
      <c r="B28" s="2">
        <v>500</v>
      </c>
      <c r="C28" s="2">
        <f t="shared" ca="1" si="1"/>
        <v>38516.320399999997</v>
      </c>
      <c r="D28" s="5"/>
    </row>
    <row r="29" spans="1:6" x14ac:dyDescent="0.15">
      <c r="A29" s="11">
        <v>42166</v>
      </c>
      <c r="B29" s="2">
        <v>500</v>
      </c>
      <c r="C29" s="2">
        <f t="shared" ref="C29:C34" ca="1" si="2">AMTLEFT(C28,B29,B:B,$G$7,26)</f>
        <v>38048.155100000004</v>
      </c>
      <c r="D29" s="5"/>
    </row>
    <row r="30" spans="1:6" x14ac:dyDescent="0.15">
      <c r="A30" s="11">
        <v>42180</v>
      </c>
      <c r="B30" s="2">
        <v>500</v>
      </c>
      <c r="C30" s="2">
        <f t="shared" ca="1" si="2"/>
        <v>37579.602800000001</v>
      </c>
      <c r="D30" s="5"/>
    </row>
    <row r="31" spans="1:6" x14ac:dyDescent="0.15">
      <c r="A31" s="11">
        <v>42194</v>
      </c>
      <c r="B31" s="2">
        <v>500</v>
      </c>
      <c r="C31" s="2">
        <f t="shared" ca="1" si="2"/>
        <v>37110.6633</v>
      </c>
      <c r="D31" s="5"/>
    </row>
    <row r="32" spans="1:6" x14ac:dyDescent="0.15">
      <c r="A32" s="11">
        <v>42208</v>
      </c>
      <c r="C32" s="2">
        <f t="shared" ca="1" si="2"/>
        <v>36641.336174604658</v>
      </c>
      <c r="D32" s="5"/>
    </row>
    <row r="33" spans="1:4" x14ac:dyDescent="0.15">
      <c r="A33" s="11">
        <v>42222</v>
      </c>
      <c r="C33" s="2">
        <f t="shared" ca="1" si="2"/>
        <v>36171.621164230477</v>
      </c>
      <c r="D33" s="5"/>
    </row>
    <row r="34" spans="1:4" x14ac:dyDescent="0.15">
      <c r="A34" s="11">
        <v>42236</v>
      </c>
      <c r="C34" s="2">
        <f t="shared" ca="1" si="2"/>
        <v>35701.517933247422</v>
      </c>
      <c r="D34" s="5"/>
    </row>
    <row r="35" spans="1:4" x14ac:dyDescent="0.15">
      <c r="A35" s="11">
        <v>42250</v>
      </c>
      <c r="C35" s="2">
        <f t="shared" ref="C35:C66" ca="1" si="3">AMTLEFT(C34,B35,B:B,$G$7,26)</f>
        <v>35231.026081324868</v>
      </c>
      <c r="D35" s="5"/>
    </row>
    <row r="36" spans="1:4" x14ac:dyDescent="0.15">
      <c r="A36" s="11">
        <v>42264</v>
      </c>
      <c r="C36" s="2">
        <f t="shared" ca="1" si="3"/>
        <v>34760.14540829754</v>
      </c>
      <c r="D36" s="5"/>
    </row>
    <row r="37" spans="1:4" x14ac:dyDescent="0.15">
      <c r="A37" s="11">
        <v>42278</v>
      </c>
      <c r="C37" s="2">
        <f t="shared" ca="1" si="3"/>
        <v>34288.875513834799</v>
      </c>
      <c r="D37" s="5"/>
    </row>
    <row r="38" spans="1:4" x14ac:dyDescent="0.15">
      <c r="A38" s="11">
        <v>42292</v>
      </c>
      <c r="C38" s="2">
        <f t="shared" ca="1" si="3"/>
        <v>33817.216097688703</v>
      </c>
      <c r="D38" s="5"/>
    </row>
    <row r="39" spans="1:4" x14ac:dyDescent="0.15">
      <c r="A39" s="11">
        <v>42306</v>
      </c>
      <c r="C39" s="2">
        <f t="shared" ca="1" si="3"/>
        <v>33345.166859611294</v>
      </c>
      <c r="D39" s="5"/>
    </row>
    <row r="40" spans="1:4" x14ac:dyDescent="0.15">
      <c r="A40" s="11">
        <v>42320</v>
      </c>
      <c r="C40" s="2">
        <f t="shared" ca="1" si="3"/>
        <v>32872.727499354609</v>
      </c>
      <c r="D40" s="5"/>
    </row>
    <row r="41" spans="1:4" x14ac:dyDescent="0.15">
      <c r="A41" s="11">
        <v>42334</v>
      </c>
      <c r="C41" s="2">
        <f t="shared" ca="1" si="3"/>
        <v>32399.897616588045</v>
      </c>
      <c r="D41" s="5"/>
    </row>
    <row r="42" spans="1:4" x14ac:dyDescent="0.15">
      <c r="A42" s="11">
        <v>42348</v>
      </c>
      <c r="C42" s="2">
        <f t="shared" ca="1" si="3"/>
        <v>31926.676911063638</v>
      </c>
      <c r="D42" s="5"/>
    </row>
    <row r="43" spans="1:4" x14ac:dyDescent="0.15">
      <c r="A43" s="11">
        <v>42362</v>
      </c>
      <c r="C43" s="2">
        <f t="shared" ca="1" si="3"/>
        <v>31453.065082533431</v>
      </c>
      <c r="D43" s="5"/>
    </row>
    <row r="44" spans="1:4" x14ac:dyDescent="0.15">
      <c r="A44" s="11">
        <v>42376</v>
      </c>
      <c r="C44" s="2">
        <f t="shared" ca="1" si="3"/>
        <v>30979.061830749473</v>
      </c>
      <c r="D44" s="5"/>
    </row>
    <row r="45" spans="1:4" x14ac:dyDescent="0.15">
      <c r="A45" s="11">
        <v>42390</v>
      </c>
      <c r="C45" s="2">
        <f t="shared" ca="1" si="3"/>
        <v>30504.666755381149</v>
      </c>
      <c r="D45" s="5"/>
    </row>
    <row r="46" spans="1:4" x14ac:dyDescent="0.15">
      <c r="A46" s="11">
        <v>42404</v>
      </c>
      <c r="C46" s="2">
        <f t="shared" ca="1" si="3"/>
        <v>30029.879656263154</v>
      </c>
      <c r="D46" s="5"/>
    </row>
    <row r="47" spans="1:4" x14ac:dyDescent="0.15">
      <c r="A47" s="11">
        <v>42418</v>
      </c>
      <c r="C47" s="2">
        <f t="shared" ca="1" si="3"/>
        <v>29554.700133064885</v>
      </c>
      <c r="D47" s="5"/>
    </row>
    <row r="48" spans="1:4" x14ac:dyDescent="0.15">
      <c r="A48" s="11">
        <v>42432</v>
      </c>
      <c r="C48" s="2">
        <f t="shared" ca="1" si="3"/>
        <v>29079.127785455719</v>
      </c>
      <c r="D48" s="5"/>
    </row>
    <row r="49" spans="1:4" x14ac:dyDescent="0.15">
      <c r="A49" s="11">
        <v>42446</v>
      </c>
      <c r="C49" s="2">
        <f t="shared" ca="1" si="3"/>
        <v>28603.162413270366</v>
      </c>
      <c r="D49" s="5"/>
    </row>
    <row r="50" spans="1:4" x14ac:dyDescent="0.15">
      <c r="A50" s="11">
        <v>42460</v>
      </c>
      <c r="C50" s="2">
        <f t="shared" ca="1" si="3"/>
        <v>28126.803616178207</v>
      </c>
      <c r="D50" s="5"/>
    </row>
    <row r="51" spans="1:4" x14ac:dyDescent="0.15">
      <c r="A51" s="11">
        <v>42474</v>
      </c>
      <c r="C51" s="2">
        <f t="shared" ca="1" si="3"/>
        <v>27650.051093931284</v>
      </c>
      <c r="D51" s="5"/>
    </row>
    <row r="52" spans="1:4" x14ac:dyDescent="0.15">
      <c r="A52" s="11">
        <v>42488</v>
      </c>
      <c r="C52" s="2">
        <f t="shared" ca="1" si="3"/>
        <v>27172.904546281643</v>
      </c>
    </row>
    <row r="53" spans="1:4" x14ac:dyDescent="0.15">
      <c r="A53" s="11">
        <v>42502</v>
      </c>
      <c r="C53" s="2">
        <f t="shared" ca="1" si="3"/>
        <v>26695.363572898674</v>
      </c>
    </row>
    <row r="54" spans="1:4" x14ac:dyDescent="0.15">
      <c r="A54" s="11">
        <v>42516</v>
      </c>
      <c r="C54" s="2">
        <f t="shared" ca="1" si="3"/>
        <v>26217.427973617072</v>
      </c>
    </row>
    <row r="55" spans="1:4" x14ac:dyDescent="0.15">
      <c r="A55" s="11">
        <v>42530</v>
      </c>
      <c r="C55" s="2">
        <f t="shared" ca="1" si="3"/>
        <v>25739.097348106225</v>
      </c>
    </row>
    <row r="56" spans="1:4" x14ac:dyDescent="0.15">
      <c r="A56" s="11">
        <v>42544</v>
      </c>
      <c r="C56" s="2">
        <f t="shared" ca="1" si="3"/>
        <v>25260.37129603553</v>
      </c>
    </row>
    <row r="57" spans="1:4" x14ac:dyDescent="0.15">
      <c r="A57" s="11">
        <v>42558</v>
      </c>
      <c r="C57" s="2">
        <f t="shared" ca="1" si="3"/>
        <v>24781.249617239671</v>
      </c>
    </row>
    <row r="58" spans="1:4" x14ac:dyDescent="0.15">
      <c r="A58" s="11">
        <v>42572</v>
      </c>
      <c r="C58" s="2">
        <f t="shared" ca="1" si="3"/>
        <v>24301.731911388044</v>
      </c>
    </row>
    <row r="59" spans="1:4" x14ac:dyDescent="0.15">
      <c r="A59" s="11">
        <v>42586</v>
      </c>
      <c r="C59" s="2">
        <f t="shared" ca="1" si="3"/>
        <v>23821.817878232694</v>
      </c>
    </row>
    <row r="60" spans="1:4" x14ac:dyDescent="0.15">
      <c r="A60" s="11">
        <v>42600</v>
      </c>
      <c r="C60" s="2">
        <f t="shared" ca="1" si="3"/>
        <v>23341.507217525661</v>
      </c>
    </row>
    <row r="61" spans="1:4" x14ac:dyDescent="0.15">
      <c r="A61" s="11">
        <v>42614</v>
      </c>
      <c r="C61" s="2">
        <f t="shared" ca="1" si="3"/>
        <v>22860.799528936339</v>
      </c>
    </row>
    <row r="62" spans="1:4" x14ac:dyDescent="0.15">
      <c r="A62" s="11">
        <v>42628</v>
      </c>
      <c r="C62" s="2">
        <f t="shared" ca="1" si="3"/>
        <v>22379.694512216767</v>
      </c>
    </row>
    <row r="63" spans="1:4" x14ac:dyDescent="0.15">
      <c r="A63" s="11">
        <v>42642</v>
      </c>
      <c r="C63" s="2">
        <f t="shared" ca="1" si="3"/>
        <v>21898.191867118985</v>
      </c>
    </row>
    <row r="64" spans="1:4" x14ac:dyDescent="0.15">
      <c r="A64" s="11">
        <v>42656</v>
      </c>
      <c r="C64" s="2">
        <f t="shared" ca="1" si="3"/>
        <v>21416.291293395039</v>
      </c>
    </row>
    <row r="65" spans="1:3" x14ac:dyDescent="0.15">
      <c r="A65" s="11">
        <v>42670</v>
      </c>
      <c r="C65" s="2">
        <f t="shared" ca="1" si="3"/>
        <v>20933.992390714317</v>
      </c>
    </row>
    <row r="66" spans="1:3" x14ac:dyDescent="0.15">
      <c r="A66" s="11">
        <v>42684</v>
      </c>
      <c r="C66" s="2">
        <f t="shared" ca="1" si="3"/>
        <v>20451.294858828864</v>
      </c>
    </row>
    <row r="67" spans="1:3" x14ac:dyDescent="0.15">
      <c r="A67" s="11">
        <v>42698</v>
      </c>
      <c r="C67" s="2">
        <f ca="1">AMTLEFT(C66,B67,B:B,$G$7,26)</f>
        <v>19968.198397490723</v>
      </c>
    </row>
    <row r="68" spans="1:3" x14ac:dyDescent="0.15">
      <c r="A68" s="11">
        <v>42712</v>
      </c>
      <c r="C68" s="2">
        <f t="shared" ref="C68:C131" ca="1" si="4">AMTLEFT(C67,B68,B:B,$G$7,26)</f>
        <v>19484.702606369283</v>
      </c>
    </row>
    <row r="69" spans="1:3" x14ac:dyDescent="0.15">
      <c r="A69" s="11">
        <v>42726</v>
      </c>
      <c r="C69" s="2">
        <f t="shared" ca="1" si="4"/>
        <v>19000.807185216585</v>
      </c>
    </row>
    <row r="70" spans="1:3" x14ac:dyDescent="0.15">
      <c r="A70" s="11">
        <v>42740</v>
      </c>
      <c r="C70" s="2">
        <f t="shared" ca="1" si="4"/>
        <v>18516.511833784676</v>
      </c>
    </row>
    <row r="71" spans="1:3" x14ac:dyDescent="0.15">
      <c r="A71" s="11">
        <v>42754</v>
      </c>
      <c r="C71" s="2">
        <f t="shared" ca="1" si="4"/>
        <v>18031.816151742943</v>
      </c>
    </row>
    <row r="72" spans="1:3" x14ac:dyDescent="0.15">
      <c r="A72" s="11">
        <v>42768</v>
      </c>
      <c r="C72" s="2">
        <f t="shared" ca="1" si="4"/>
        <v>17546.719938926082</v>
      </c>
    </row>
    <row r="73" spans="1:3" x14ac:dyDescent="0.15">
      <c r="A73" s="11">
        <v>42782</v>
      </c>
      <c r="C73" s="2">
        <f t="shared" ca="1" si="4"/>
        <v>17061.222694920827</v>
      </c>
    </row>
    <row r="74" spans="1:3" x14ac:dyDescent="0.15">
      <c r="A74" s="11">
        <v>42796</v>
      </c>
      <c r="C74" s="2">
        <f t="shared" ca="1" si="4"/>
        <v>16575.324219561877</v>
      </c>
    </row>
    <row r="75" spans="1:3" x14ac:dyDescent="0.15">
      <c r="A75" s="11">
        <v>42810</v>
      </c>
      <c r="C75" s="2">
        <f t="shared" ca="1" si="4"/>
        <v>16089.024112518626</v>
      </c>
    </row>
    <row r="76" spans="1:3" x14ac:dyDescent="0.15">
      <c r="A76" s="11">
        <v>42824</v>
      </c>
      <c r="C76" s="2">
        <f t="shared" ca="1" si="4"/>
        <v>15602.32207354311</v>
      </c>
    </row>
    <row r="77" spans="1:3" x14ac:dyDescent="0.15">
      <c r="A77" s="11">
        <v>42838</v>
      </c>
      <c r="C77" s="2">
        <f t="shared" ca="1" si="4"/>
        <v>15115.217802387373</v>
      </c>
    </row>
    <row r="78" spans="1:3" x14ac:dyDescent="0.15">
      <c r="A78" s="11">
        <v>42852</v>
      </c>
      <c r="C78" s="2">
        <f t="shared" ca="1" si="4"/>
        <v>14627.710898720807</v>
      </c>
    </row>
    <row r="79" spans="1:3" x14ac:dyDescent="0.15">
      <c r="A79" s="11">
        <v>42866</v>
      </c>
      <c r="C79" s="2">
        <f t="shared" ca="1" si="4"/>
        <v>14139.801062295453</v>
      </c>
    </row>
    <row r="80" spans="1:3" x14ac:dyDescent="0.15">
      <c r="A80" s="11">
        <v>42880</v>
      </c>
      <c r="C80" s="2">
        <f t="shared" ca="1" si="4"/>
        <v>13651.487992863355</v>
      </c>
    </row>
    <row r="81" spans="1:3" x14ac:dyDescent="0.15">
      <c r="A81" s="11">
        <v>42894</v>
      </c>
      <c r="C81" s="2">
        <f t="shared" ca="1" si="4"/>
        <v>13162.7712900939</v>
      </c>
    </row>
    <row r="82" spans="1:3" x14ac:dyDescent="0.15">
      <c r="A82" s="11">
        <v>42908</v>
      </c>
      <c r="C82" s="2">
        <f t="shared" ca="1" si="4"/>
        <v>12673.650653739138</v>
      </c>
    </row>
    <row r="83" spans="1:3" x14ac:dyDescent="0.15">
      <c r="A83" s="11">
        <v>42922</v>
      </c>
      <c r="C83" s="2">
        <f t="shared" ca="1" si="4"/>
        <v>12184.125783551102</v>
      </c>
    </row>
    <row r="84" spans="1:3" x14ac:dyDescent="0.15">
      <c r="A84" s="11">
        <v>42936</v>
      </c>
      <c r="C84" s="2">
        <f t="shared" ca="1" si="4"/>
        <v>11694.19627919919</v>
      </c>
    </row>
    <row r="85" spans="1:3" x14ac:dyDescent="0.15">
      <c r="A85" s="11">
        <v>42950</v>
      </c>
      <c r="C85" s="2">
        <f t="shared" ca="1" si="4"/>
        <v>11203.86184043544</v>
      </c>
    </row>
    <row r="86" spans="1:3" x14ac:dyDescent="0.15">
      <c r="A86" s="11">
        <v>42964</v>
      </c>
      <c r="C86" s="2">
        <f t="shared" ca="1" si="4"/>
        <v>10713.122066929245</v>
      </c>
    </row>
    <row r="87" spans="1:3" x14ac:dyDescent="0.15">
      <c r="A87" s="11">
        <v>42978</v>
      </c>
      <c r="C87" s="2">
        <f t="shared" ca="1" si="4"/>
        <v>10221.976758515299</v>
      </c>
    </row>
    <row r="88" spans="1:3" x14ac:dyDescent="0.15">
      <c r="A88" s="11">
        <v>42992</v>
      </c>
      <c r="C88" s="2">
        <f t="shared" ca="1" si="4"/>
        <v>9730.4255148629909</v>
      </c>
    </row>
    <row r="89" spans="1:3" x14ac:dyDescent="0.15">
      <c r="A89" s="11">
        <v>43006</v>
      </c>
      <c r="C89" s="2">
        <f t="shared" ca="1" si="4"/>
        <v>9238.4679356417109</v>
      </c>
    </row>
    <row r="90" spans="1:3" x14ac:dyDescent="0.15">
      <c r="A90" s="11">
        <v>43020</v>
      </c>
      <c r="C90" s="2">
        <f t="shared" ca="1" si="4"/>
        <v>8746.1037206035035</v>
      </c>
    </row>
    <row r="91" spans="1:3" x14ac:dyDescent="0.15">
      <c r="A91" s="11">
        <v>43034</v>
      </c>
      <c r="C91" s="2">
        <f t="shared" ca="1" si="4"/>
        <v>8253.3325695004114</v>
      </c>
    </row>
    <row r="92" spans="1:3" x14ac:dyDescent="0.15">
      <c r="A92" s="11">
        <v>43048</v>
      </c>
      <c r="C92" s="2">
        <f t="shared" ca="1" si="4"/>
        <v>7760.1541820844759</v>
      </c>
    </row>
    <row r="93" spans="1:3" x14ac:dyDescent="0.15">
      <c r="A93" s="11">
        <v>43062</v>
      </c>
      <c r="C93" s="2">
        <f t="shared" ca="1" si="4"/>
        <v>7266.5681580250894</v>
      </c>
    </row>
    <row r="94" spans="1:3" x14ac:dyDescent="0.15">
      <c r="A94" s="11">
        <v>43076</v>
      </c>
      <c r="C94" s="2">
        <f t="shared" ca="1" si="4"/>
        <v>6772.5741970742911</v>
      </c>
    </row>
    <row r="95" spans="1:3" x14ac:dyDescent="0.15">
      <c r="A95" s="11">
        <v>43090</v>
      </c>
      <c r="C95" s="2">
        <f t="shared" ca="1" si="4"/>
        <v>6278.1718989014735</v>
      </c>
    </row>
    <row r="96" spans="1:3" x14ac:dyDescent="0.15">
      <c r="A96" s="11">
        <v>43104</v>
      </c>
      <c r="C96" s="2">
        <f t="shared" ca="1" si="4"/>
        <v>5783.3609632586777</v>
      </c>
    </row>
    <row r="97" spans="1:3" x14ac:dyDescent="0.15">
      <c r="A97" s="11">
        <v>43118</v>
      </c>
      <c r="C97" s="2">
        <f t="shared" ca="1" si="4"/>
        <v>5288.1410898979475</v>
      </c>
    </row>
    <row r="98" spans="1:3" x14ac:dyDescent="0.15">
      <c r="A98" s="11">
        <v>43132</v>
      </c>
      <c r="C98" s="2">
        <f t="shared" ca="1" si="4"/>
        <v>4792.5118784886736</v>
      </c>
    </row>
    <row r="99" spans="1:3" x14ac:dyDescent="0.15">
      <c r="A99" s="11">
        <v>43146</v>
      </c>
      <c r="C99" s="2">
        <f t="shared" ca="1" si="4"/>
        <v>4296.4730287828979</v>
      </c>
    </row>
    <row r="100" spans="1:3" x14ac:dyDescent="0.15">
      <c r="A100" s="11">
        <v>43160</v>
      </c>
      <c r="C100" s="2">
        <f t="shared" ca="1" si="4"/>
        <v>3800.0241404500093</v>
      </c>
    </row>
    <row r="101" spans="1:3" x14ac:dyDescent="0.15">
      <c r="A101" s="11">
        <v>43174</v>
      </c>
      <c r="C101" s="2">
        <f t="shared" ca="1" si="4"/>
        <v>3303.1649132420521</v>
      </c>
    </row>
    <row r="102" spans="1:3" x14ac:dyDescent="0.15">
      <c r="A102" s="11">
        <v>43188</v>
      </c>
      <c r="C102" s="2">
        <f t="shared" ca="1" si="4"/>
        <v>2805.8950469110691</v>
      </c>
    </row>
    <row r="103" spans="1:3" x14ac:dyDescent="0.15">
      <c r="A103" s="11">
        <v>43202</v>
      </c>
      <c r="C103" s="2">
        <f t="shared" ca="1" si="4"/>
        <v>2308.2141411264492</v>
      </c>
    </row>
    <row r="104" spans="1:3" x14ac:dyDescent="0.15">
      <c r="A104" s="11">
        <v>43216</v>
      </c>
      <c r="C104" s="2">
        <f t="shared" ca="1" si="4"/>
        <v>1810.1218956402363</v>
      </c>
    </row>
    <row r="105" spans="1:3" x14ac:dyDescent="0.15">
      <c r="A105" s="11">
        <v>43230</v>
      </c>
      <c r="C105" s="2">
        <f t="shared" ca="1" si="4"/>
        <v>1311.6180102044718</v>
      </c>
    </row>
    <row r="106" spans="1:3" x14ac:dyDescent="0.15">
      <c r="A106" s="11">
        <v>43244</v>
      </c>
      <c r="C106" s="2">
        <f t="shared" ca="1" si="4"/>
        <v>812.70208448854669</v>
      </c>
    </row>
    <row r="107" spans="1:3" x14ac:dyDescent="0.15">
      <c r="A107" s="11">
        <v>43258</v>
      </c>
      <c r="C107" s="2">
        <f t="shared" ca="1" si="4"/>
        <v>313.3738182445037</v>
      </c>
    </row>
    <row r="108" spans="1:3" x14ac:dyDescent="0.15">
      <c r="A108" s="11">
        <v>43272</v>
      </c>
      <c r="C108" s="2">
        <f t="shared" ca="1" si="4"/>
        <v>-186.36718885826741</v>
      </c>
    </row>
    <row r="109" spans="1:3" x14ac:dyDescent="0.15">
      <c r="A109" s="11">
        <v>43286</v>
      </c>
      <c r="C109" s="2">
        <f t="shared" ca="1" si="4"/>
        <v>-686.52123706772386</v>
      </c>
    </row>
    <row r="110" spans="1:3" x14ac:dyDescent="0.15">
      <c r="A110" s="11">
        <v>43300</v>
      </c>
      <c r="C110" s="2">
        <f t="shared" ca="1" si="4"/>
        <v>-1187.088626631823</v>
      </c>
    </row>
    <row r="111" spans="1:3" x14ac:dyDescent="0.15">
      <c r="A111" s="11">
        <v>43314</v>
      </c>
      <c r="C111" s="2">
        <f t="shared" ca="1" si="4"/>
        <v>-1688.0697578811748</v>
      </c>
    </row>
    <row r="112" spans="1:3" x14ac:dyDescent="0.15">
      <c r="A112" s="11">
        <v>43328</v>
      </c>
      <c r="C112" s="2">
        <f t="shared" ca="1" si="4"/>
        <v>-2189.4650311463888</v>
      </c>
    </row>
    <row r="113" spans="1:3" x14ac:dyDescent="0.15">
      <c r="A113" s="11">
        <v>43342</v>
      </c>
      <c r="C113" s="2">
        <f t="shared" ca="1" si="4"/>
        <v>-2691.2746465927703</v>
      </c>
    </row>
    <row r="114" spans="1:3" x14ac:dyDescent="0.15">
      <c r="A114" s="11">
        <v>43356</v>
      </c>
      <c r="C114" s="2">
        <f t="shared" ca="1" si="4"/>
        <v>-3193.4990045509289</v>
      </c>
    </row>
    <row r="115" spans="1:3" x14ac:dyDescent="0.15">
      <c r="A115" s="11">
        <v>43370</v>
      </c>
      <c r="C115" s="2">
        <f t="shared" ca="1" si="4"/>
        <v>-3696.1385053514737</v>
      </c>
    </row>
    <row r="116" spans="1:3" x14ac:dyDescent="0.15">
      <c r="A116" s="11">
        <v>43384</v>
      </c>
      <c r="C116" s="2">
        <f t="shared" ca="1" si="4"/>
        <v>-4199.1934492423643</v>
      </c>
    </row>
    <row r="117" spans="1:3" x14ac:dyDescent="0.15">
      <c r="A117" s="11">
        <v>43398</v>
      </c>
      <c r="C117" s="2">
        <f t="shared" ca="1" si="4"/>
        <v>-4702.6641364715551</v>
      </c>
    </row>
    <row r="118" spans="1:3" x14ac:dyDescent="0.15">
      <c r="A118" s="11">
        <v>43412</v>
      </c>
      <c r="C118" s="2">
        <f t="shared" ca="1" si="4"/>
        <v>-5206.5509673696579</v>
      </c>
    </row>
    <row r="119" spans="1:3" x14ac:dyDescent="0.15">
      <c r="A119" s="11">
        <v>43426</v>
      </c>
      <c r="C119" s="2">
        <f t="shared" ca="1" si="4"/>
        <v>-5710.8543422672819</v>
      </c>
    </row>
    <row r="120" spans="1:3" x14ac:dyDescent="0.15">
      <c r="A120" s="11">
        <v>43440</v>
      </c>
      <c r="C120" s="2">
        <f t="shared" ca="1" si="4"/>
        <v>-6215.574461329732</v>
      </c>
    </row>
    <row r="121" spans="1:3" x14ac:dyDescent="0.15">
      <c r="A121" s="11">
        <v>43454</v>
      </c>
      <c r="C121" s="2">
        <f t="shared" ca="1" si="4"/>
        <v>-6720.7118249702708</v>
      </c>
    </row>
    <row r="122" spans="1:3" x14ac:dyDescent="0.15">
      <c r="A122" s="11">
        <v>43468</v>
      </c>
      <c r="C122" s="2">
        <f t="shared" ca="1" si="4"/>
        <v>-7226.2666333542038</v>
      </c>
    </row>
    <row r="123" spans="1:3" x14ac:dyDescent="0.15">
      <c r="A123" s="11">
        <v>43482</v>
      </c>
      <c r="C123" s="2">
        <f t="shared" ca="1" si="4"/>
        <v>-7732.2392868121387</v>
      </c>
    </row>
    <row r="124" spans="1:3" x14ac:dyDescent="0.15">
      <c r="A124" s="11">
        <v>43496</v>
      </c>
      <c r="C124" s="2">
        <f t="shared" ca="1" si="4"/>
        <v>-8238.6301856746868</v>
      </c>
    </row>
    <row r="125" spans="1:3" x14ac:dyDescent="0.15">
      <c r="A125" s="11">
        <v>43510</v>
      </c>
      <c r="C125" s="2">
        <f t="shared" ca="1" si="4"/>
        <v>-8745.439630189805</v>
      </c>
    </row>
    <row r="126" spans="1:3" x14ac:dyDescent="0.15">
      <c r="A126" s="11">
        <v>43524</v>
      </c>
      <c r="C126" s="2">
        <f t="shared" ca="1" si="4"/>
        <v>-9252.6679206054523</v>
      </c>
    </row>
    <row r="127" spans="1:3" x14ac:dyDescent="0.15">
      <c r="A127" s="11">
        <v>43538</v>
      </c>
      <c r="C127" s="2">
        <f t="shared" ca="1" si="4"/>
        <v>-9760.315457252238</v>
      </c>
    </row>
    <row r="128" spans="1:3" x14ac:dyDescent="0.15">
      <c r="A128" s="11">
        <v>43552</v>
      </c>
      <c r="C128" s="2">
        <f t="shared" ca="1" si="4"/>
        <v>-10268.38264046077</v>
      </c>
    </row>
    <row r="129" spans="1:3" x14ac:dyDescent="0.15">
      <c r="A129" s="11">
        <v>43566</v>
      </c>
      <c r="C129" s="2">
        <f t="shared" ca="1" si="4"/>
        <v>-10776.869670396354</v>
      </c>
    </row>
    <row r="130" spans="1:3" x14ac:dyDescent="0.15">
      <c r="A130" s="11">
        <v>43580</v>
      </c>
      <c r="C130" s="2">
        <f t="shared" ca="1" si="4"/>
        <v>-11285.777047472251</v>
      </c>
    </row>
    <row r="131" spans="1:3" x14ac:dyDescent="0.15">
      <c r="A131" s="11">
        <v>43594</v>
      </c>
      <c r="C131" s="2">
        <f t="shared" ca="1" si="4"/>
        <v>-11795.104971853771</v>
      </c>
    </row>
    <row r="132" spans="1:3" x14ac:dyDescent="0.15">
      <c r="A132" s="11">
        <v>43608</v>
      </c>
      <c r="C132" s="2">
        <f t="shared" ref="C132:C137" ca="1" si="5">AMTLEFT(C131,B132,B:B,$G$7,26)</f>
        <v>-12304.853943954169</v>
      </c>
    </row>
    <row r="133" spans="1:3" x14ac:dyDescent="0.15">
      <c r="A133" s="11">
        <v>43622</v>
      </c>
      <c r="C133" s="2">
        <f t="shared" ca="1" si="5"/>
        <v>-12815.024163938757</v>
      </c>
    </row>
    <row r="134" spans="1:3" x14ac:dyDescent="0.15">
      <c r="A134" s="11">
        <v>43636</v>
      </c>
      <c r="C134" s="2">
        <f t="shared" ca="1" si="5"/>
        <v>-13325.616132220794</v>
      </c>
    </row>
    <row r="135" spans="1:3" x14ac:dyDescent="0.15">
      <c r="A135" s="11">
        <v>43650</v>
      </c>
      <c r="C135" s="2">
        <f t="shared" ca="1" si="5"/>
        <v>-13836.630048965582</v>
      </c>
    </row>
    <row r="136" spans="1:3" x14ac:dyDescent="0.15">
      <c r="A136" s="11">
        <v>43664</v>
      </c>
      <c r="C136" s="2">
        <f t="shared" ca="1" si="5"/>
        <v>-14348.066314503736</v>
      </c>
    </row>
    <row r="137" spans="1:3" x14ac:dyDescent="0.15">
      <c r="A137" s="11">
        <v>43678</v>
      </c>
      <c r="C137" s="2">
        <f t="shared" ca="1" si="5"/>
        <v>-14859.925329165864</v>
      </c>
    </row>
    <row r="138" spans="1:3" x14ac:dyDescent="0.15">
      <c r="A138" s="11">
        <v>43692</v>
      </c>
      <c r="C138" s="2">
        <f t="shared" ref="C138:C152" ca="1" si="6">AMTLEFT(C137,B138,B:B,$G$7,26)</f>
        <v>-15372.207393199922</v>
      </c>
    </row>
    <row r="139" spans="1:3" x14ac:dyDescent="0.15">
      <c r="A139" s="11">
        <v>43706</v>
      </c>
      <c r="C139" s="2">
        <f t="shared" ca="1" si="6"/>
        <v>-15884.912906936519</v>
      </c>
    </row>
    <row r="140" spans="1:3" x14ac:dyDescent="0.15">
      <c r="A140" s="11">
        <v>43720</v>
      </c>
      <c r="C140" s="2">
        <f t="shared" ca="1" si="6"/>
        <v>-16398.042170623616</v>
      </c>
    </row>
    <row r="141" spans="1:3" x14ac:dyDescent="0.15">
      <c r="A141" s="11">
        <v>43734</v>
      </c>
      <c r="C141" s="2">
        <f t="shared" ca="1" si="6"/>
        <v>-16911.595584591822</v>
      </c>
    </row>
    <row r="142" spans="1:3" x14ac:dyDescent="0.15">
      <c r="A142" s="11">
        <v>43748</v>
      </c>
      <c r="C142" s="2">
        <f t="shared" ca="1" si="6"/>
        <v>-17425.573449089094</v>
      </c>
    </row>
    <row r="143" spans="1:3" x14ac:dyDescent="0.15">
      <c r="A143" s="11">
        <v>43762</v>
      </c>
      <c r="C143" s="2">
        <f t="shared" ca="1" si="6"/>
        <v>-17939.976064363385</v>
      </c>
    </row>
    <row r="144" spans="1:3" x14ac:dyDescent="0.15">
      <c r="A144" s="11">
        <v>43776</v>
      </c>
      <c r="C144" s="2">
        <f t="shared" ca="1" si="6"/>
        <v>-18454.803930827962</v>
      </c>
    </row>
    <row r="145" spans="1:3" x14ac:dyDescent="0.15">
      <c r="A145" s="11">
        <v>43790</v>
      </c>
      <c r="C145" s="2">
        <f t="shared" ca="1" si="6"/>
        <v>-18970.057248648129</v>
      </c>
    </row>
    <row r="146" spans="1:3" x14ac:dyDescent="0.15">
      <c r="A146" s="11">
        <v>43804</v>
      </c>
      <c r="C146" s="2">
        <f t="shared" ca="1" si="6"/>
        <v>-19485.736418154498</v>
      </c>
    </row>
    <row r="147" spans="1:3" x14ac:dyDescent="0.15">
      <c r="A147" s="11">
        <v>43818</v>
      </c>
      <c r="C147" s="2">
        <f t="shared" ca="1" si="6"/>
        <v>-20001.841839677676</v>
      </c>
    </row>
    <row r="148" spans="1:3" x14ac:dyDescent="0.15">
      <c r="A148" s="11">
        <v>43832</v>
      </c>
      <c r="C148" s="2">
        <f t="shared" ca="1" si="6"/>
        <v>-20518.373813465616</v>
      </c>
    </row>
    <row r="149" spans="1:3" x14ac:dyDescent="0.15">
      <c r="A149" s="11">
        <v>43846</v>
      </c>
      <c r="C149" s="2">
        <f t="shared" ca="1" si="6"/>
        <v>-21035.332739848938</v>
      </c>
    </row>
    <row r="150" spans="1:3" x14ac:dyDescent="0.15">
      <c r="A150" s="11">
        <v>43860</v>
      </c>
      <c r="C150" s="2">
        <f t="shared" ca="1" si="6"/>
        <v>-21552.718919075593</v>
      </c>
    </row>
    <row r="151" spans="1:3" x14ac:dyDescent="0.15">
      <c r="A151" s="11">
        <v>43874</v>
      </c>
      <c r="C151" s="2">
        <f t="shared" ca="1" si="6"/>
        <v>-22070.532751476192</v>
      </c>
    </row>
    <row r="152" spans="1:3" x14ac:dyDescent="0.15">
      <c r="A152" s="11">
        <v>43888</v>
      </c>
      <c r="C152" s="2">
        <f t="shared" ca="1" si="6"/>
        <v>-22588.774637381346</v>
      </c>
    </row>
    <row r="153" spans="1:3" x14ac:dyDescent="0.15">
      <c r="A153" s="11">
        <v>43902</v>
      </c>
      <c r="C153" s="2">
        <f t="shared" ref="C153:C163" ca="1" si="7">AMTLEFT(C152,B153,B:B,$G$7,26)</f>
        <v>-23107.444776956356</v>
      </c>
    </row>
    <row r="154" spans="1:3" x14ac:dyDescent="0.15">
      <c r="A154" s="11">
        <v>43916</v>
      </c>
      <c r="C154" s="2">
        <f t="shared" ca="1" si="7"/>
        <v>-23626.543670614486</v>
      </c>
    </row>
    <row r="155" spans="1:3" x14ac:dyDescent="0.15">
      <c r="A155" s="11">
        <v>43930</v>
      </c>
      <c r="C155" s="2">
        <f t="shared" ca="1" si="7"/>
        <v>-24146.071618603695</v>
      </c>
    </row>
    <row r="156" spans="1:3" x14ac:dyDescent="0.15">
      <c r="A156" s="11">
        <v>43944</v>
      </c>
      <c r="C156" s="2">
        <f t="shared" ca="1" si="7"/>
        <v>-24666.028921171943</v>
      </c>
    </row>
    <row r="157" spans="1:3" x14ac:dyDescent="0.15">
      <c r="A157" s="11">
        <v>43958</v>
      </c>
      <c r="C157" s="2">
        <f t="shared" ca="1" si="7"/>
        <v>-25186.415978649835</v>
      </c>
    </row>
    <row r="158" spans="1:3" x14ac:dyDescent="0.15">
      <c r="A158" s="11">
        <v>43972</v>
      </c>
      <c r="C158" s="2">
        <f t="shared" ca="1" si="7"/>
        <v>-25707.233191367981</v>
      </c>
    </row>
    <row r="159" spans="1:3" x14ac:dyDescent="0.15">
      <c r="A159" s="11">
        <v>43986</v>
      </c>
      <c r="C159" s="2">
        <f t="shared" ca="1" si="7"/>
        <v>-26228.480859574338</v>
      </c>
    </row>
    <row r="160" spans="1:3" x14ac:dyDescent="0.15">
      <c r="A160" s="11">
        <v>44000</v>
      </c>
      <c r="C160" s="2">
        <f t="shared" ca="1" si="7"/>
        <v>-26750.159383599519</v>
      </c>
    </row>
    <row r="161" spans="1:3" x14ac:dyDescent="0.15">
      <c r="A161" s="11">
        <v>44014</v>
      </c>
      <c r="C161" s="2">
        <f t="shared" ca="1" si="7"/>
        <v>-27272.269063691481</v>
      </c>
    </row>
    <row r="162" spans="1:3" x14ac:dyDescent="0.15">
      <c r="A162" s="11">
        <v>44028</v>
      </c>
      <c r="C162" s="2">
        <f t="shared" ca="1" si="7"/>
        <v>-27794.810300180834</v>
      </c>
    </row>
    <row r="163" spans="1:3" x14ac:dyDescent="0.15">
      <c r="A163" s="11">
        <v>44042</v>
      </c>
      <c r="C163" s="2">
        <f t="shared" ca="1" si="7"/>
        <v>-28317.783393315534</v>
      </c>
    </row>
  </sheetData>
  <mergeCells count="2">
    <mergeCell ref="G1:I1"/>
    <mergeCell ref="G5:I5"/>
  </mergeCells>
  <phoneticPr fontId="0" type="noConversion"/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Monthly</vt:lpstr>
      <vt:lpstr>BiWeekly</vt:lpstr>
    </vt:vector>
  </TitlesOfParts>
  <Company>BNS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hfasihi</dc:creator>
  <cp:lastModifiedBy>Microsoft Office User</cp:lastModifiedBy>
  <dcterms:created xsi:type="dcterms:W3CDTF">2000-10-13T14:59:10Z</dcterms:created>
  <dcterms:modified xsi:type="dcterms:W3CDTF">2015-07-03T18:21:09Z</dcterms:modified>
</cp:coreProperties>
</file>