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6018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Praveen/Documents/Excel Projects/excel-financial-and-other-tools/"/>
    </mc:Choice>
  </mc:AlternateContent>
  <bookViews>
    <workbookView xWindow="3000" yWindow="460" windowWidth="21460" windowHeight="15340" tabRatio="500"/>
  </bookViews>
  <sheets>
    <sheet name="Sheet1" sheetId="1" r:id="rId1"/>
  </sheet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" i="1" l="1"/>
  <c r="B12" i="1"/>
  <c r="C12" i="1"/>
  <c r="D12" i="1"/>
  <c r="D9" i="1"/>
  <c r="C7" i="1"/>
  <c r="C9" i="1"/>
  <c r="D14" i="1"/>
  <c r="B14" i="1"/>
  <c r="C14" i="1"/>
  <c r="B7" i="1"/>
  <c r="B9" i="1"/>
</calcChain>
</file>

<file path=xl/sharedStrings.xml><?xml version="1.0" encoding="utf-8"?>
<sst xmlns="http://schemas.openxmlformats.org/spreadsheetml/2006/main" count="16" uniqueCount="13">
  <si>
    <t>Drug Stores</t>
  </si>
  <si>
    <t>Recurring Payments</t>
  </si>
  <si>
    <t>Everything else</t>
  </si>
  <si>
    <t>Momentum Infinte</t>
  </si>
  <si>
    <t>Momentum Regular</t>
  </si>
  <si>
    <t>Gross Annual Return</t>
  </si>
  <si>
    <t>Annual Cost</t>
  </si>
  <si>
    <t xml:space="preserve">Net Annual Return </t>
  </si>
  <si>
    <t>TD Gold Elite</t>
  </si>
  <si>
    <t>RBC Visa Cash Back</t>
  </si>
  <si>
    <t>BMO CashBack</t>
  </si>
  <si>
    <t xml:space="preserve">Gas &amp; Groceries </t>
  </si>
  <si>
    <t xml:space="preserve">CIBC MasterCard Dividend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</si>
</sst>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12" x14ac:knownFonts="1">
    <font>
      <sz val="12"/>
      <color theme="1"/>
      <name val="Calibri"/>
      <family val="2"/>
      <scheme val="minor"/>
    </font>
    <font>
      <sz val="12"/>
      <color indexed="8"/>
      <name val="Calibri"/>
      <family val="2"/>
    </font>
    <font>
      <sz val="8"/>
      <name val="Calibri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1.5"/>
      <color indexed="8"/>
      <name val="Arial"/>
      <family val="2"/>
    </font>
    <font>
      <b/>
      <sz val="11"/>
      <color indexed="8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color indexed="8"/>
      <name val="Arial"/>
      <family val="2"/>
    </font>
    <font>
      <sz val="11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2">
    <xf numFmtId="0" fontId="0" fillId="0" borderId="0" xfId="0"/>
    <xf numFmtId="0" fontId="3" fillId="0" borderId="1" xfId="0" applyFont="1" applyBorder="1"/>
    <xf numFmtId="0" fontId="3" fillId="0" borderId="2" xfId="0" applyFont="1" applyBorder="1"/>
    <xf numFmtId="0" fontId="4" fillId="0" borderId="0" xfId="0" applyFont="1"/>
    <xf numFmtId="0" fontId="3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5" fillId="0" borderId="6" xfId="0" applyFont="1" applyBorder="1"/>
    <xf numFmtId="0" fontId="5" fillId="0" borderId="7" xfId="0" applyFont="1" applyBorder="1"/>
    <xf numFmtId="44" fontId="4" fillId="2" borderId="8" xfId="1" applyFont="1" applyFill="1" applyBorder="1"/>
    <xf numFmtId="44" fontId="4" fillId="0" borderId="9" xfId="1" applyFont="1" applyFill="1" applyBorder="1"/>
    <xf numFmtId="0" fontId="9" fillId="2" borderId="8" xfId="0" applyFont="1" applyFill="1" applyBorder="1"/>
    <xf numFmtId="0" fontId="9" fillId="0" borderId="9" xfId="0" applyFont="1" applyFill="1" applyBorder="1"/>
    <xf numFmtId="0" fontId="9" fillId="2" borderId="10" xfId="0" applyFont="1" applyFill="1" applyBorder="1"/>
    <xf numFmtId="0" fontId="7" fillId="0" borderId="11" xfId="0" applyFont="1" applyFill="1" applyBorder="1"/>
    <xf numFmtId="44" fontId="11" fillId="0" borderId="11" xfId="1" applyFont="1" applyFill="1" applyBorder="1"/>
    <xf numFmtId="0" fontId="10" fillId="0" borderId="6" xfId="0" applyFont="1" applyFill="1" applyBorder="1"/>
    <xf numFmtId="44" fontId="8" fillId="0" borderId="9" xfId="1" applyFont="1" applyFill="1" applyBorder="1"/>
    <xf numFmtId="0" fontId="6" fillId="0" borderId="7" xfId="0" applyFont="1" applyFill="1" applyBorder="1"/>
    <xf numFmtId="44" fontId="3" fillId="0" borderId="11" xfId="1" applyFont="1" applyFill="1" applyBorder="1"/>
    <xf numFmtId="44" fontId="4" fillId="0" borderId="12" xfId="1" applyFont="1" applyBorder="1" applyProtection="1">
      <protection locked="0"/>
    </xf>
    <xf numFmtId="44" fontId="4" fillId="0" borderId="13" xfId="1" applyFont="1" applyBorder="1" applyProtection="1">
      <protection locked="0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16"/>
  <sheetViews>
    <sheetView tabSelected="1" zoomScale="75" workbookViewId="0">
      <selection activeCell="F12" sqref="F12"/>
    </sheetView>
  </sheetViews>
  <sheetFormatPr baseColWidth="10" defaultColWidth="11.1640625" defaultRowHeight="16" x14ac:dyDescent="0.2"/>
  <cols>
    <col min="1" max="1" width="21.1640625" customWidth="1"/>
    <col min="2" max="2" width="21.5" customWidth="1"/>
    <col min="3" max="3" width="20.6640625" customWidth="1"/>
    <col min="4" max="4" width="28.1640625" customWidth="1"/>
    <col min="5" max="5" width="20.1640625" customWidth="1"/>
    <col min="6" max="6" width="26.1640625" customWidth="1"/>
    <col min="7" max="7" width="24.6640625" customWidth="1"/>
    <col min="8" max="8" width="27.5" customWidth="1"/>
  </cols>
  <sheetData>
    <row r="1" spans="1:5" x14ac:dyDescent="0.2">
      <c r="A1" s="7" t="s">
        <v>11</v>
      </c>
      <c r="B1" s="20">
        <v>400</v>
      </c>
      <c r="C1" s="3"/>
      <c r="D1" s="3"/>
      <c r="E1" s="3"/>
    </row>
    <row r="2" spans="1:5" x14ac:dyDescent="0.2">
      <c r="A2" s="7" t="s">
        <v>0</v>
      </c>
      <c r="B2" s="20">
        <v>25</v>
      </c>
      <c r="C2" s="3"/>
      <c r="D2" s="3"/>
      <c r="E2" s="3"/>
    </row>
    <row r="3" spans="1:5" x14ac:dyDescent="0.2">
      <c r="A3" s="7" t="s">
        <v>1</v>
      </c>
      <c r="B3" s="20">
        <v>75</v>
      </c>
      <c r="C3" s="3"/>
      <c r="D3" s="3"/>
      <c r="E3" s="3"/>
    </row>
    <row r="4" spans="1:5" ht="17" thickBot="1" x14ac:dyDescent="0.25">
      <c r="A4" s="8" t="s">
        <v>2</v>
      </c>
      <c r="B4" s="21">
        <v>1000</v>
      </c>
      <c r="C4" s="3"/>
      <c r="D4" s="3"/>
      <c r="E4" s="3"/>
    </row>
    <row r="5" spans="1:5" ht="17" thickBot="1" x14ac:dyDescent="0.25">
      <c r="A5" s="3"/>
      <c r="B5" s="3"/>
      <c r="C5" s="3"/>
      <c r="D5" s="3"/>
      <c r="E5" s="3"/>
    </row>
    <row r="6" spans="1:5" ht="17" thickBot="1" x14ac:dyDescent="0.25">
      <c r="A6" s="4"/>
      <c r="B6" s="4" t="s">
        <v>3</v>
      </c>
      <c r="C6" s="4" t="s">
        <v>4</v>
      </c>
      <c r="D6" s="4" t="s">
        <v>12</v>
      </c>
      <c r="E6" s="3"/>
    </row>
    <row r="7" spans="1:5" x14ac:dyDescent="0.2">
      <c r="A7" s="11" t="s">
        <v>5</v>
      </c>
      <c r="B7" s="9">
        <f>inmOM(B1,B2,B3,B4)</f>
        <v>336</v>
      </c>
      <c r="C7" s="9">
        <f>regMOM(B1,B2,B3,B4)</f>
        <v>240</v>
      </c>
      <c r="D7" s="9">
        <f>CIBC(B1+B2+B3+B4)</f>
        <v>180</v>
      </c>
      <c r="E7" s="3"/>
    </row>
    <row r="8" spans="1:5" x14ac:dyDescent="0.2">
      <c r="A8" s="12" t="s">
        <v>6</v>
      </c>
      <c r="B8" s="10">
        <v>99</v>
      </c>
      <c r="C8" s="10">
        <v>39</v>
      </c>
      <c r="D8" s="10">
        <v>79</v>
      </c>
      <c r="E8" s="3"/>
    </row>
    <row r="9" spans="1:5" ht="17" thickBot="1" x14ac:dyDescent="0.25">
      <c r="A9" s="14" t="s">
        <v>7</v>
      </c>
      <c r="B9" s="15">
        <f>B7-B8</f>
        <v>237</v>
      </c>
      <c r="C9" s="15">
        <f>C7-C8</f>
        <v>201</v>
      </c>
      <c r="D9" s="15">
        <f>D7-D8</f>
        <v>101</v>
      </c>
      <c r="E9" s="3"/>
    </row>
    <row r="10" spans="1:5" ht="17" thickBot="1" x14ac:dyDescent="0.25">
      <c r="A10" s="5"/>
      <c r="B10" s="6"/>
      <c r="C10" s="6"/>
      <c r="D10" s="6"/>
      <c r="E10" s="3"/>
    </row>
    <row r="11" spans="1:5" ht="17" thickBot="1" x14ac:dyDescent="0.25">
      <c r="A11" s="1"/>
      <c r="B11" s="2" t="s">
        <v>9</v>
      </c>
      <c r="C11" s="2" t="s">
        <v>10</v>
      </c>
      <c r="D11" s="2" t="s">
        <v>8</v>
      </c>
      <c r="E11" s="3"/>
    </row>
    <row r="12" spans="1:5" x14ac:dyDescent="0.2">
      <c r="A12" s="13" t="s">
        <v>5</v>
      </c>
      <c r="B12" s="9">
        <f>RBC(B1+B2+B3+B4)</f>
        <v>180</v>
      </c>
      <c r="C12" s="9">
        <f>(B1+B2+B3+B4)*0.0125*12</f>
        <v>225</v>
      </c>
      <c r="D12" s="9">
        <f>(B1+B2+B3+B4)*0.01*12</f>
        <v>180</v>
      </c>
      <c r="E12" s="3"/>
    </row>
    <row r="13" spans="1:5" x14ac:dyDescent="0.2">
      <c r="A13" s="16" t="s">
        <v>6</v>
      </c>
      <c r="B13" s="17">
        <v>19</v>
      </c>
      <c r="C13" s="17">
        <v>79</v>
      </c>
      <c r="D13" s="17">
        <v>99</v>
      </c>
      <c r="E13" s="3"/>
    </row>
    <row r="14" spans="1:5" ht="17" thickBot="1" x14ac:dyDescent="0.25">
      <c r="A14" s="18" t="s">
        <v>7</v>
      </c>
      <c r="B14" s="19">
        <f>B12-B13</f>
        <v>161</v>
      </c>
      <c r="C14" s="19">
        <f>C12-C13</f>
        <v>146</v>
      </c>
      <c r="D14" s="19">
        <f>D12-D13</f>
        <v>81</v>
      </c>
      <c r="E14" s="3"/>
    </row>
    <row r="15" spans="1:5" x14ac:dyDescent="0.2">
      <c r="A15" s="3"/>
      <c r="B15" s="3"/>
      <c r="C15" s="3"/>
      <c r="D15" s="3"/>
      <c r="E15" s="3"/>
    </row>
    <row r="16" spans="1:5" x14ac:dyDescent="0.2">
      <c r="A16" s="3"/>
      <c r="B16" s="3"/>
      <c r="C16" s="3"/>
      <c r="D16" s="3"/>
      <c r="E16" s="3"/>
    </row>
  </sheetData>
  <phoneticPr fontId="2" type="noConversion"/>
  <pageMargins left="0.75" right="0.75" top="1" bottom="1" header="0.5" footer="0.5"/>
  <pageSetup orientation="portrait" horizontalDpi="4294967292" vertic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Praveen Perera</dc:creator>
  <cp:lastModifiedBy>Microsoft Office User</cp:lastModifiedBy>
  <dcterms:created xsi:type="dcterms:W3CDTF">2014-11-24T05:02:53Z</dcterms:created>
  <dcterms:modified xsi:type="dcterms:W3CDTF">2015-07-04T12:04:53Z</dcterms:modified>
</cp:coreProperties>
</file>